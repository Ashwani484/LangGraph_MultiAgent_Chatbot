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fd3ef28f9846d3/Documents/"/>
    </mc:Choice>
  </mc:AlternateContent>
  <xr:revisionPtr revIDLastSave="0" documentId="8_{051E9F7B-2741-4C72-9B32-7E04E8F999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F14" i="3" s="1"/>
  <c r="G6" i="3"/>
  <c r="H6" i="3"/>
  <c r="L6" i="1" s="1"/>
  <c r="L19" i="1" s="1"/>
  <c r="L24" i="1" s="1"/>
  <c r="I6" i="3"/>
  <c r="I14" i="3" s="1"/>
  <c r="J6" i="3"/>
  <c r="K6" i="3"/>
  <c r="B6" i="3"/>
  <c r="C5" i="1"/>
  <c r="D5" i="1"/>
  <c r="E5" i="1"/>
  <c r="F5" i="1"/>
  <c r="G5" i="1"/>
  <c r="H5" i="1"/>
  <c r="I5" i="1"/>
  <c r="I6" i="1" s="1"/>
  <c r="I19" i="1" s="1"/>
  <c r="J5" i="1"/>
  <c r="J6" i="1" s="1"/>
  <c r="J19" i="1" s="1"/>
  <c r="K5" i="1"/>
  <c r="K6" i="1" s="1"/>
  <c r="K19" i="1" s="1"/>
  <c r="B5" i="1"/>
  <c r="D13" i="1" s="1"/>
  <c r="E13" i="1" s="1"/>
  <c r="K13" i="1"/>
  <c r="K14" i="1" s="1"/>
  <c r="C13" i="1"/>
  <c r="F13" i="1"/>
  <c r="G13" i="1"/>
  <c r="J13" i="1"/>
  <c r="J14" i="1" s="1"/>
  <c r="B13" i="1"/>
  <c r="B6" i="6"/>
  <c r="C17" i="2"/>
  <c r="D17" i="2"/>
  <c r="E17" i="2"/>
  <c r="F17" i="2"/>
  <c r="G17" i="2"/>
  <c r="H17" i="2"/>
  <c r="I17" i="2"/>
  <c r="J17" i="2"/>
  <c r="J20" i="2" s="1"/>
  <c r="K17" i="2"/>
  <c r="C18" i="2"/>
  <c r="D18" i="2"/>
  <c r="E18" i="2"/>
  <c r="F18" i="2"/>
  <c r="G18" i="2"/>
  <c r="G21" i="2" s="1"/>
  <c r="H18" i="2"/>
  <c r="H21" i="2" s="1"/>
  <c r="I18" i="2"/>
  <c r="I21" i="2" s="1"/>
  <c r="J18" i="2"/>
  <c r="J21" i="2" s="1"/>
  <c r="K18" i="2"/>
  <c r="B17" i="2"/>
  <c r="C4" i="2"/>
  <c r="D4" i="2"/>
  <c r="E4" i="2"/>
  <c r="E23" i="2" s="1"/>
  <c r="E5" i="2"/>
  <c r="F4" i="2"/>
  <c r="G4" i="2"/>
  <c r="H4" i="2"/>
  <c r="I4" i="2"/>
  <c r="I5" i="2"/>
  <c r="I23" i="2"/>
  <c r="J4" i="2"/>
  <c r="J5" i="2"/>
  <c r="J23" i="2" s="1"/>
  <c r="K4" i="2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F16" i="2" s="1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E13" i="2"/>
  <c r="F13" i="2"/>
  <c r="G13" i="2"/>
  <c r="H13" i="2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F4" i="3"/>
  <c r="G4" i="3"/>
  <c r="H4" i="3"/>
  <c r="L4" i="1" s="1"/>
  <c r="I4" i="3"/>
  <c r="J4" i="3"/>
  <c r="J14" i="3" s="1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L12" i="1" s="1"/>
  <c r="L13" i="1" s="1"/>
  <c r="L14" i="1" s="1"/>
  <c r="L25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E6" i="1" s="1"/>
  <c r="E19" i="1" s="1"/>
  <c r="F4" i="1"/>
  <c r="G4" i="1"/>
  <c r="H4" i="1"/>
  <c r="I4" i="1"/>
  <c r="J4" i="1"/>
  <c r="L23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H13" i="1" s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I15" i="1"/>
  <c r="J15" i="1"/>
  <c r="K15" i="1"/>
  <c r="B15" i="1"/>
  <c r="B14" i="1" s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B23" i="2"/>
  <c r="G6" i="1"/>
  <c r="G19" i="1" s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F21" i="2"/>
  <c r="E21" i="2"/>
  <c r="D21" i="2"/>
  <c r="C21" i="2"/>
  <c r="B18" i="2"/>
  <c r="B21" i="2" s="1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1" i="1"/>
  <c r="B10" i="1"/>
  <c r="B9" i="1"/>
  <c r="B8" i="1"/>
  <c r="B3" i="1"/>
  <c r="E14" i="3"/>
  <c r="G14" i="3"/>
  <c r="G20" i="2"/>
  <c r="K20" i="2"/>
  <c r="D20" i="2"/>
  <c r="C20" i="2"/>
  <c r="E20" i="2"/>
  <c r="L10" i="1"/>
  <c r="A1" i="3"/>
  <c r="A1" i="2"/>
  <c r="A1" i="4"/>
  <c r="H23" i="1"/>
  <c r="I23" i="1"/>
  <c r="J23" i="1"/>
  <c r="H14" i="3" l="1"/>
  <c r="G24" i="2"/>
  <c r="K24" i="1"/>
  <c r="M24" i="1" s="1"/>
  <c r="C24" i="2"/>
  <c r="E16" i="2"/>
  <c r="H14" i="1"/>
  <c r="L7" i="1"/>
  <c r="K24" i="2"/>
  <c r="L9" i="1"/>
  <c r="J24" i="2"/>
  <c r="I24" i="2"/>
  <c r="N11" i="1"/>
  <c r="H23" i="2"/>
  <c r="D14" i="3"/>
  <c r="H24" i="2"/>
  <c r="I24" i="1"/>
  <c r="L8" i="1"/>
  <c r="N8" i="1" s="1"/>
  <c r="F24" i="2"/>
  <c r="G23" i="2"/>
  <c r="F20" i="2"/>
  <c r="E24" i="2"/>
  <c r="B6" i="1"/>
  <c r="B19" i="1" s="1"/>
  <c r="D24" i="2"/>
  <c r="M11" i="1"/>
  <c r="B16" i="2"/>
  <c r="I16" i="2"/>
  <c r="B14" i="3"/>
  <c r="C23" i="2"/>
  <c r="I14" i="1"/>
  <c r="K25" i="1" s="1"/>
  <c r="M25" i="1" s="1"/>
  <c r="M14" i="1" s="1"/>
  <c r="J25" i="1"/>
  <c r="M9" i="1"/>
  <c r="N9" i="1"/>
  <c r="M8" i="1"/>
  <c r="N23" i="1"/>
  <c r="N4" i="1" s="1"/>
  <c r="H25" i="1"/>
  <c r="I25" i="1"/>
  <c r="I20" i="2"/>
  <c r="H20" i="2"/>
  <c r="K23" i="1"/>
  <c r="M23" i="1" s="1"/>
  <c r="M4" i="1" s="1"/>
  <c r="H6" i="1"/>
  <c r="H19" i="1" s="1"/>
  <c r="J24" i="1" s="1"/>
  <c r="F6" i="1"/>
  <c r="F19" i="1" s="1"/>
  <c r="E1" i="4"/>
  <c r="H24" i="1" l="1"/>
  <c r="N24" i="1" s="1"/>
  <c r="N6" i="1" s="1"/>
  <c r="N25" i="1"/>
  <c r="N14" i="1" s="1"/>
  <c r="M6" i="1"/>
  <c r="M10" i="1" s="1"/>
  <c r="M12" i="1" s="1"/>
  <c r="M13" i="1" s="1"/>
  <c r="M15" i="1" s="1"/>
  <c r="N10" i="1" l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<sst xmlns="http://schemas.openxmlformats.org/spreadsheetml/2006/main" count="145" uniqueCount="93">
  <si>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</si>
  <si>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</si>
  <si>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</si>
  <si>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</si>
  <si>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</si>
  <si>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</si>
  <si>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</si>
  <si>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</si>
  <si>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</si>
  <si>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</si>
  <si>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</si>
  <si>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</si>
  <si>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</si>
  <si>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</si>
  <si>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</si>
  <si>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</si>
  <si>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</si>
  <si>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</si>
  <si>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</si>
  <si>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</si>
  <si>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</si>
  <si>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</si>
  <si>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</si>
  <si>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</si>
  <si>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</si>
  <si>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</si>
  <si>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</si>
  <si>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</si>
  <si>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</si>
  <si>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</si>
  <si>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</si>
  <si>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</si>
  <si>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</si>
  <si>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</si>
  <si>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</si>
  <si>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</si>
  <si>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</si>
  <si>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</si>
  <si>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</si>
  <si>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</si>
  <si>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</si>
  <si>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</si>
  <si>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</si>
  <si>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</si>
  <si>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</si>
  <si>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</si>
  <si>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</si>
  <si>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</si>
  <si>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</si>
  <si>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</si>
  <si>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</si>
  <si>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</si>
  <si>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</si>
  <si>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</si>
  <si>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</si>
  <si>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</si>
  <si>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</si>
  <si>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</si>
  <si>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</si>
  <si>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</si>
  <si>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</si>
  <si>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</si>
  <si>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</si>
  <si>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AERONAUTICS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</si>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</sst>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HINDUSTAN AERONAUTICS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16758.5</v>
      </c>
      <c r="C4" s="1">
        <f>'Data Sheet'!C17</f>
        <v>17949.919999999998</v>
      </c>
      <c r="D4" s="1">
        <f>'Data Sheet'!D17</f>
        <v>18519.740000000002</v>
      </c>
      <c r="E4" s="1">
        <f>'Data Sheet'!E17</f>
        <v>20008.23</v>
      </c>
      <c r="F4" s="1">
        <f>'Data Sheet'!F17</f>
        <v>21445.16</v>
      </c>
      <c r="G4" s="1">
        <f>'Data Sheet'!G17</f>
        <v>22882.32</v>
      </c>
      <c r="H4" s="1">
        <f>'Data Sheet'!H17</f>
        <v>24620.02</v>
      </c>
      <c r="I4" s="1">
        <f>'Data Sheet'!I17</f>
        <v>26927.46</v>
      </c>
      <c r="J4" s="1">
        <f>'Data Sheet'!J17</f>
        <v>30381.08</v>
      </c>
      <c r="K4" s="1">
        <f>'Data Sheet'!K17</f>
        <v>30980.95</v>
      </c>
      <c r="L4" s="1">
        <f>SUM(Quarters!H4:K4)</f>
        <v>32846.270000000004</v>
      </c>
      <c r="M4" s="1">
        <f>$K4+M23*K4</f>
        <v>33447.488055389033</v>
      </c>
      <c r="N4" s="1">
        <f>$K4+N23*L4</f>
        <v>32958.578328259791</v>
      </c>
    </row>
    <row r="5" spans="1:14" x14ac:dyDescent="0.35">
      <c r="A5" t="s">
        <v>7</v>
      </c>
      <c r="B5" s="6">
        <f>SUM('Data Sheet'!B18,'Data Sheet'!B20:B24, -1*'Data Sheet'!B19)</f>
        <v>14284.6</v>
      </c>
      <c r="C5" s="6">
        <f>SUM('Data Sheet'!C18,'Data Sheet'!C20:C24, -1*'Data Sheet'!C19)</f>
        <v>14719.230000000001</v>
      </c>
      <c r="D5" s="6">
        <f>SUM('Data Sheet'!D18,'Data Sheet'!D20:D24, -1*'Data Sheet'!D19)</f>
        <v>15071.05</v>
      </c>
      <c r="E5" s="6">
        <f>SUM('Data Sheet'!E18,'Data Sheet'!E20:E24, -1*'Data Sheet'!E19)</f>
        <v>15456.969999999998</v>
      </c>
      <c r="F5" s="6">
        <f>SUM('Data Sheet'!F18,'Data Sheet'!F20:F24, -1*'Data Sheet'!F19)</f>
        <v>16530.919999999998</v>
      </c>
      <c r="G5" s="6">
        <f>SUM('Data Sheet'!G18,'Data Sheet'!G20:G24, -1*'Data Sheet'!G19)</f>
        <v>17538.34</v>
      </c>
      <c r="H5" s="6">
        <f>SUM('Data Sheet'!H18,'Data Sheet'!H20:H24, -1*'Data Sheet'!H19)</f>
        <v>19204.649999999998</v>
      </c>
      <c r="I5" s="6">
        <f>SUM('Data Sheet'!I18,'Data Sheet'!I20:I24, -1*'Data Sheet'!I19)</f>
        <v>20241.799999999996</v>
      </c>
      <c r="J5" s="6">
        <f>SUM('Data Sheet'!J18,'Data Sheet'!J20:J24, -1*'Data Sheet'!J19)</f>
        <v>20629.499999999996</v>
      </c>
      <c r="K5" s="6">
        <f>SUM('Data Sheet'!K18,'Data Sheet'!K20:K24, -1*'Data Sheet'!K19)</f>
        <v>21359.929999999997</v>
      </c>
      <c r="L5" s="6">
        <f>SUM(Quarters!H5:K5)</f>
        <v>22840.11</v>
      </c>
      <c r="M5" s="6">
        <f t="shared" ref="M5:N5" si="0">M4-M6</f>
        <v>23258.175324284057</v>
      </c>
      <c r="N5" s="6">
        <f t="shared" si="0"/>
        <v>25030.961689622571</v>
      </c>
    </row>
    <row r="6" spans="1:14" s="2" customFormat="1" x14ac:dyDescent="0.35">
      <c r="A6" s="2" t="s">
        <v>8</v>
      </c>
      <c r="B6" s="1">
        <f>B4-B5</f>
        <v>2473.8999999999996</v>
      </c>
      <c r="C6" s="1">
        <f t="shared" ref="C6:K6" si="1">C4-C5</f>
        <v>3230.6899999999969</v>
      </c>
      <c r="D6" s="1">
        <f t="shared" si="1"/>
        <v>3448.6900000000023</v>
      </c>
      <c r="E6" s="1">
        <f t="shared" si="1"/>
        <v>4551.260000000002</v>
      </c>
      <c r="F6" s="1">
        <f t="shared" si="1"/>
        <v>4914.2400000000016</v>
      </c>
      <c r="G6" s="1">
        <f t="shared" si="1"/>
        <v>5343.98</v>
      </c>
      <c r="H6" s="1">
        <f t="shared" si="1"/>
        <v>5415.3700000000026</v>
      </c>
      <c r="I6" s="1">
        <f t="shared" si="1"/>
        <v>6685.6600000000035</v>
      </c>
      <c r="J6" s="1">
        <f t="shared" si="1"/>
        <v>9751.5800000000054</v>
      </c>
      <c r="K6" s="1">
        <f t="shared" si="1"/>
        <v>9621.0200000000041</v>
      </c>
      <c r="L6" s="1">
        <f>SUM(Quarters!H6:K6)</f>
        <v>10006.16</v>
      </c>
      <c r="M6" s="1">
        <f>M4*M24</f>
        <v>10189.312731104978</v>
      </c>
      <c r="N6" s="1">
        <f>N4*N24</f>
        <v>7927.6166386372188</v>
      </c>
    </row>
    <row r="7" spans="1:14" x14ac:dyDescent="0.35">
      <c r="A7" t="s">
        <v>9</v>
      </c>
      <c r="B7" s="6">
        <f>'Data Sheet'!B25</f>
        <v>1608.1</v>
      </c>
      <c r="C7" s="6">
        <f>'Data Sheet'!C25</f>
        <v>1058.2</v>
      </c>
      <c r="D7" s="6">
        <f>'Data Sheet'!D25</f>
        <v>775.7</v>
      </c>
      <c r="E7" s="6">
        <f>'Data Sheet'!E25</f>
        <v>376.26</v>
      </c>
      <c r="F7" s="6">
        <f>'Data Sheet'!F25</f>
        <v>422.51</v>
      </c>
      <c r="G7" s="6">
        <f>'Data Sheet'!G25</f>
        <v>364.28</v>
      </c>
      <c r="H7" s="6">
        <f>'Data Sheet'!H25</f>
        <v>984.93</v>
      </c>
      <c r="I7" s="6">
        <f>'Data Sheet'!I25</f>
        <v>1672.92</v>
      </c>
      <c r="J7" s="6">
        <f>'Data Sheet'!J25</f>
        <v>1923.1</v>
      </c>
      <c r="K7" s="6">
        <f>'Data Sheet'!K25</f>
        <v>2608.23</v>
      </c>
      <c r="L7" s="6">
        <f>SUM(Quarters!H7:K7)</f>
        <v>3247.6499999999996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862.8</v>
      </c>
      <c r="C8" s="6">
        <f>'Data Sheet'!C26</f>
        <v>680.68</v>
      </c>
      <c r="D8" s="6">
        <f>'Data Sheet'!D26</f>
        <v>947.09</v>
      </c>
      <c r="E8" s="6">
        <f>'Data Sheet'!E26</f>
        <v>1025.26</v>
      </c>
      <c r="F8" s="6">
        <f>'Data Sheet'!F26</f>
        <v>998.52</v>
      </c>
      <c r="G8" s="6">
        <f>'Data Sheet'!G26</f>
        <v>1157.8900000000001</v>
      </c>
      <c r="H8" s="6">
        <f>'Data Sheet'!H26</f>
        <v>1110.53</v>
      </c>
      <c r="I8" s="6">
        <f>'Data Sheet'!I26</f>
        <v>1784.67</v>
      </c>
      <c r="J8" s="6">
        <f>'Data Sheet'!J26</f>
        <v>1407.17</v>
      </c>
      <c r="K8" s="6">
        <f>'Data Sheet'!K26</f>
        <v>1340.37</v>
      </c>
      <c r="L8" s="6">
        <f>SUM(Quarters!H8:K8)</f>
        <v>1456.97</v>
      </c>
      <c r="M8" s="6">
        <f>+$L8</f>
        <v>1456.97</v>
      </c>
      <c r="N8" s="6">
        <f>+$L8</f>
        <v>1456.97</v>
      </c>
    </row>
    <row r="9" spans="1:14" x14ac:dyDescent="0.35">
      <c r="A9" t="s">
        <v>11</v>
      </c>
      <c r="B9" s="6">
        <f>'Data Sheet'!B27</f>
        <v>5.9</v>
      </c>
      <c r="C9" s="6">
        <f>'Data Sheet'!C27</f>
        <v>16.45</v>
      </c>
      <c r="D9" s="6">
        <f>'Data Sheet'!D27</f>
        <v>34.619999999999997</v>
      </c>
      <c r="E9" s="6">
        <f>'Data Sheet'!E27</f>
        <v>177.6</v>
      </c>
      <c r="F9" s="6">
        <f>'Data Sheet'!F27</f>
        <v>359.59</v>
      </c>
      <c r="G9" s="6">
        <f>'Data Sheet'!G27</f>
        <v>266.89</v>
      </c>
      <c r="H9" s="6">
        <f>'Data Sheet'!H27</f>
        <v>65.239999999999995</v>
      </c>
      <c r="I9" s="6">
        <f>'Data Sheet'!I27</f>
        <v>64.41</v>
      </c>
      <c r="J9" s="6">
        <f>'Data Sheet'!J27</f>
        <v>42.63</v>
      </c>
      <c r="K9" s="6">
        <f>'Data Sheet'!K27</f>
        <v>21.62</v>
      </c>
      <c r="L9" s="6">
        <f>SUM(Quarters!H9:K9)</f>
        <v>10.08</v>
      </c>
      <c r="M9" s="6">
        <f>+$L9</f>
        <v>10.08</v>
      </c>
      <c r="N9" s="6">
        <f>+$L9</f>
        <v>10.08</v>
      </c>
    </row>
    <row r="10" spans="1:14" x14ac:dyDescent="0.35">
      <c r="A10" t="s">
        <v>12</v>
      </c>
      <c r="B10" s="6">
        <f>'Data Sheet'!B28</f>
        <v>3213.3</v>
      </c>
      <c r="C10" s="6">
        <f>'Data Sheet'!C28</f>
        <v>3591.76</v>
      </c>
      <c r="D10" s="6">
        <f>'Data Sheet'!D28</f>
        <v>3242.68</v>
      </c>
      <c r="E10" s="6">
        <f>'Data Sheet'!E28</f>
        <v>3724.66</v>
      </c>
      <c r="F10" s="6">
        <f>'Data Sheet'!F28</f>
        <v>3978.64</v>
      </c>
      <c r="G10" s="6">
        <f>'Data Sheet'!G28</f>
        <v>4283.4799999999996</v>
      </c>
      <c r="H10" s="6">
        <f>'Data Sheet'!H28</f>
        <v>5224.53</v>
      </c>
      <c r="I10" s="6">
        <f>'Data Sheet'!I28</f>
        <v>6509.5</v>
      </c>
      <c r="J10" s="6">
        <f>'Data Sheet'!J28</f>
        <v>10224.879999999999</v>
      </c>
      <c r="K10" s="6">
        <f>'Data Sheet'!K28</f>
        <v>10867.26</v>
      </c>
      <c r="L10" s="6">
        <f>SUM(Quarters!H10:K10)</f>
        <v>11786.759999999998</v>
      </c>
      <c r="M10" s="6">
        <f>M6+M7-SUM(M8:M9)</f>
        <v>8722.2627311049782</v>
      </c>
      <c r="N10" s="6">
        <f>N6+N7-SUM(N8:N9)</f>
        <v>6460.5666386372186</v>
      </c>
    </row>
    <row r="11" spans="1:14" x14ac:dyDescent="0.35">
      <c r="A11" t="s">
        <v>13</v>
      </c>
      <c r="B11" s="6">
        <f>'Data Sheet'!B29</f>
        <v>1209</v>
      </c>
      <c r="C11" s="6">
        <f>'Data Sheet'!C29</f>
        <v>966.95</v>
      </c>
      <c r="D11" s="6">
        <f>'Data Sheet'!D29</f>
        <v>1252.43</v>
      </c>
      <c r="E11" s="6">
        <f>'Data Sheet'!E29</f>
        <v>1396.28</v>
      </c>
      <c r="F11" s="6">
        <f>'Data Sheet'!F29</f>
        <v>1095.99</v>
      </c>
      <c r="G11" s="6">
        <f>'Data Sheet'!G29</f>
        <v>1037.93</v>
      </c>
      <c r="H11" s="6">
        <f>'Data Sheet'!H29</f>
        <v>144.65</v>
      </c>
      <c r="I11" s="6">
        <f>'Data Sheet'!I29</f>
        <v>681.77</v>
      </c>
      <c r="J11" s="6">
        <f>'Data Sheet'!J29</f>
        <v>2603.9299999999998</v>
      </c>
      <c r="K11" s="6">
        <f>'Data Sheet'!K29</f>
        <v>2503.21</v>
      </c>
      <c r="L11" s="6">
        <f>SUM(Quarters!H11:K11)</f>
        <v>2890.65</v>
      </c>
      <c r="M11" s="7">
        <f>IF($L10&gt;0,$L11/$L10,0)</f>
        <v>0.24524551276177681</v>
      </c>
      <c r="N11" s="7">
        <f>IF($L10&gt;0,$L11/$L10,0)</f>
        <v>0.24524551276177681</v>
      </c>
    </row>
    <row r="12" spans="1:14" s="2" customFormat="1" x14ac:dyDescent="0.35">
      <c r="A12" s="2" t="s">
        <v>14</v>
      </c>
      <c r="B12" s="1">
        <f>'Data Sheet'!B30</f>
        <v>2004.3</v>
      </c>
      <c r="C12" s="1">
        <f>'Data Sheet'!C30</f>
        <v>2624.81</v>
      </c>
      <c r="D12" s="1">
        <f>'Data Sheet'!D30</f>
        <v>1990.47</v>
      </c>
      <c r="E12" s="1">
        <f>'Data Sheet'!E30</f>
        <v>2328.63</v>
      </c>
      <c r="F12" s="1">
        <f>'Data Sheet'!F30</f>
        <v>2882.82</v>
      </c>
      <c r="G12" s="1">
        <f>'Data Sheet'!G30</f>
        <v>3245.95</v>
      </c>
      <c r="H12" s="1">
        <f>'Data Sheet'!H30</f>
        <v>5080.04</v>
      </c>
      <c r="I12" s="1">
        <f>'Data Sheet'!I30</f>
        <v>5827.74</v>
      </c>
      <c r="J12" s="1">
        <f>'Data Sheet'!J30</f>
        <v>7621.05</v>
      </c>
      <c r="K12" s="1">
        <f>'Data Sheet'!K30</f>
        <v>8364.1299999999992</v>
      </c>
      <c r="L12" s="1">
        <f>SUM(Quarters!H12:K12)</f>
        <v>8896.18</v>
      </c>
      <c r="M12" s="1">
        <f>M10-M11*M10</f>
        <v>6583.1669351722021</v>
      </c>
      <c r="N12" s="1">
        <f>N10-N11*N10</f>
        <v>4876.1416606130051</v>
      </c>
    </row>
    <row r="13" spans="1:14" x14ac:dyDescent="0.35">
      <c r="A13" t="s">
        <v>57</v>
      </c>
      <c r="B13" s="6">
        <f>IF('Data Sheet'!B93&gt;0,B12/'Data Sheet'!B93,0)</f>
        <v>27.721991701244814</v>
      </c>
      <c r="C13" s="6">
        <f>IF('Data Sheet'!C93&gt;0,C12/'Data Sheet'!C93,0)</f>
        <v>36.304426002766249</v>
      </c>
      <c r="D13" s="6">
        <f>IF('Data Sheet'!D93&gt;0,D12/'Data Sheet'!D93,0)</f>
        <v>29.761812200956939</v>
      </c>
      <c r="E13" s="6">
        <f>IF('Data Sheet'!E93&gt;0,E12/'Data Sheet'!E93,0)</f>
        <v>34.818032296650721</v>
      </c>
      <c r="F13" s="6">
        <f>IF('Data Sheet'!F93&gt;0,F12/'Data Sheet'!F93,0)</f>
        <v>43.104366028708142</v>
      </c>
      <c r="G13" s="6">
        <f>IF('Data Sheet'!G93&gt;0,G12/'Data Sheet'!G93,0)</f>
        <v>48.533941387559807</v>
      </c>
      <c r="H13" s="6">
        <f>IF('Data Sheet'!H93&gt;0,H12/'Data Sheet'!H93,0)</f>
        <v>75.957535885167474</v>
      </c>
      <c r="I13" s="6">
        <f>IF('Data Sheet'!I93&gt;0,I12/'Data Sheet'!I93,0)</f>
        <v>87.137260765550238</v>
      </c>
      <c r="J13" s="6">
        <f>IF('Data Sheet'!J93&gt;0,J12/'Data Sheet'!J93,0)</f>
        <v>113.95110645933015</v>
      </c>
      <c r="K13" s="6">
        <f>IF('Data Sheet'!K93&gt;0,K12/'Data Sheet'!K93,0)</f>
        <v>125.06175239234449</v>
      </c>
      <c r="L13" s="6">
        <f>IF('Data Sheet'!$B6&gt;0,'Profit &amp; Loss'!L12/'Data Sheet'!$B6,0)</f>
        <v>133.02201705539889</v>
      </c>
      <c r="M13" s="6">
        <f>IF('Data Sheet'!$B6&gt;0,'Profit &amp; Loss'!M12/'Data Sheet'!$B6,0)</f>
        <v>98.436198944829641</v>
      </c>
      <c r="N13" s="6">
        <f>IF('Data Sheet'!$B6&gt;0,'Profit &amp; Loss'!N12/'Data Sheet'!$B6,0)</f>
        <v>72.911541711454149</v>
      </c>
    </row>
    <row r="14" spans="1:14" x14ac:dyDescent="0.35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>
        <f t="shared" si="2"/>
        <v>19.032107190763988</v>
      </c>
      <c r="E14" s="6">
        <f t="shared" si="2"/>
        <v>10.145030511502471</v>
      </c>
      <c r="F14" s="6">
        <f t="shared" si="2"/>
        <v>6.0353514961045072</v>
      </c>
      <c r="G14" s="6">
        <f t="shared" si="2"/>
        <v>10.250146305395957</v>
      </c>
      <c r="H14" s="6">
        <f t="shared" si="2"/>
        <v>9.7745403579499364</v>
      </c>
      <c r="I14" s="6">
        <f t="shared" si="2"/>
        <v>15.671252320796741</v>
      </c>
      <c r="J14" s="6">
        <f t="shared" si="2"/>
        <v>29.196732733678427</v>
      </c>
      <c r="K14" s="6">
        <f t="shared" si="2"/>
        <v>33.403098230180547</v>
      </c>
      <c r="L14" s="6">
        <f t="shared" ref="L14" si="3">IF(L13&gt;0,L15/L13,0)</f>
        <v>27.584907229844717</v>
      </c>
      <c r="M14" s="6">
        <f>M25</f>
        <v>27.584907229844717</v>
      </c>
      <c r="N14" s="6">
        <f>N25</f>
        <v>17.757632398181663</v>
      </c>
    </row>
    <row r="15" spans="1:14" s="2" customFormat="1" x14ac:dyDescent="0.35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566.42999999999995</v>
      </c>
      <c r="E15" s="1">
        <f>'Data Sheet'!E90</f>
        <v>353.23</v>
      </c>
      <c r="F15" s="1">
        <f>'Data Sheet'!F90</f>
        <v>260.14999999999998</v>
      </c>
      <c r="G15" s="1">
        <f>'Data Sheet'!G90</f>
        <v>497.48</v>
      </c>
      <c r="H15" s="1">
        <f>'Data Sheet'!H90</f>
        <v>742.45</v>
      </c>
      <c r="I15" s="1">
        <f>'Data Sheet'!I90</f>
        <v>1365.55</v>
      </c>
      <c r="J15" s="1">
        <f>'Data Sheet'!J90</f>
        <v>3327</v>
      </c>
      <c r="K15" s="1">
        <f>'Data Sheet'!K90</f>
        <v>4177.45</v>
      </c>
      <c r="L15" s="1">
        <f>'Data Sheet'!B8</f>
        <v>3669.4</v>
      </c>
      <c r="M15" s="8">
        <f>M13*M14</f>
        <v>2715.3534159516639</v>
      </c>
      <c r="N15" s="9">
        <f>N13*N14</f>
        <v>1294.736355296692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0.31383026493039962</v>
      </c>
      <c r="C18" s="5">
        <f>IF('Data Sheet'!C30&gt;0, 'Data Sheet'!C31/'Data Sheet'!C30, 0)</f>
        <v>0.30478396531558477</v>
      </c>
      <c r="D18" s="5">
        <f>IF('Data Sheet'!D30&gt;0, 'Data Sheet'!D31/'Data Sheet'!D30, 0)</f>
        <v>0.54044019754128425</v>
      </c>
      <c r="E18" s="5">
        <f>IF('Data Sheet'!E30&gt;0, 'Data Sheet'!E31/'Data Sheet'!E30, 0)</f>
        <v>0.28432597707665019</v>
      </c>
      <c r="F18" s="5">
        <f>IF('Data Sheet'!F30&gt;0, 'Data Sheet'!F31/'Data Sheet'!F30, 0)</f>
        <v>0.38568138142513231</v>
      </c>
      <c r="G18" s="5">
        <f>IF('Data Sheet'!G30&gt;0, 'Data Sheet'!G31/'Data Sheet'!G30, 0)</f>
        <v>0.30905281966758574</v>
      </c>
      <c r="H18" s="5">
        <f>IF('Data Sheet'!H30&gt;0, 'Data Sheet'!H31/'Data Sheet'!H30, 0)</f>
        <v>0.26329713939260319</v>
      </c>
      <c r="I18" s="5">
        <f>IF('Data Sheet'!I30&gt;0, 'Data Sheet'!I31/'Data Sheet'!I30, 0)</f>
        <v>0.31558374258288807</v>
      </c>
      <c r="J18" s="5">
        <f>IF('Data Sheet'!J30&gt;0, 'Data Sheet'!J31/'Data Sheet'!J30, 0)</f>
        <v>0.307140092244507</v>
      </c>
      <c r="K18" s="5">
        <f>IF('Data Sheet'!K30&gt;0, 'Data Sheet'!K31/'Data Sheet'!K30, 0)</f>
        <v>0.31983242728173761</v>
      </c>
    </row>
    <row r="19" spans="1:14" x14ac:dyDescent="0.35">
      <c r="A19" t="s">
        <v>18</v>
      </c>
      <c r="B19" s="5">
        <f t="shared" ref="B19:L19" si="4">IF(B6&gt;0,B6/B4,0)</f>
        <v>0.14762061043649488</v>
      </c>
      <c r="C19" s="5">
        <f t="shared" ref="C19:K19" si="5">IF(C6&gt;0,C6/C4,0)</f>
        <v>0.17998353196003086</v>
      </c>
      <c r="D19" s="5">
        <f t="shared" si="5"/>
        <v>0.18621697712818874</v>
      </c>
      <c r="E19" s="5">
        <f t="shared" si="5"/>
        <v>0.22746939634340479</v>
      </c>
      <c r="F19" s="5">
        <f t="shared" si="5"/>
        <v>0.2291538044015527</v>
      </c>
      <c r="G19" s="5">
        <f t="shared" si="5"/>
        <v>0.23354187862069928</v>
      </c>
      <c r="H19" s="5">
        <f t="shared" si="5"/>
        <v>0.21995798541187223</v>
      </c>
      <c r="I19" s="5">
        <f t="shared" si="5"/>
        <v>0.2482840936352706</v>
      </c>
      <c r="J19" s="5">
        <f t="shared" si="5"/>
        <v>0.32097542286186026</v>
      </c>
      <c r="K19" s="5">
        <f t="shared" si="5"/>
        <v>0.31054631959316947</v>
      </c>
      <c r="L19" s="5">
        <f t="shared" si="4"/>
        <v>0.30463611241093735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7.0658736681316059E-2</v>
      </c>
      <c r="I23" s="5">
        <f>IF(D4=0,"",POWER($K4/D4,1/7)-1)</f>
        <v>7.6273965571828972E-2</v>
      </c>
      <c r="J23" s="5">
        <f>IF(F4=0,"",POWER($K4/F4,1/5)-1)</f>
        <v>7.6348941363899803E-2</v>
      </c>
      <c r="K23" s="5">
        <f>IF(H4=0,"",POWER($K4/H4, 1/3)-1)</f>
        <v>7.9614668219955442E-2</v>
      </c>
      <c r="L23" s="5">
        <f>IF(ISERROR(MAX(IF(J4=0,"",(K4-J4)/J4),IF(K4=0,"",(L4-K4)/K4))),"",MAX(IF(J4=0,"",(K4-J4)/J4),IF(K4=0,"",(L4-K4)/K4)))</f>
        <v>6.0208612066447391E-2</v>
      </c>
      <c r="M23" s="16">
        <f>MAX(K23:L23)</f>
        <v>7.9614668219955442E-2</v>
      </c>
      <c r="N23" s="16">
        <f>MIN(H23:L23)</f>
        <v>6.0208612066447391E-2</v>
      </c>
    </row>
    <row r="24" spans="1:14" x14ac:dyDescent="0.35">
      <c r="G24" t="s">
        <v>18</v>
      </c>
      <c r="H24" s="5">
        <f>IF(SUM(B4:$K$4)=0,"",SUMPRODUCT(B19:$K$19,B4:$K$4)/SUM(B4:$K$4))</f>
        <v>0.24053272443004053</v>
      </c>
      <c r="I24" s="5">
        <f>IF(SUM(E4:$K$4)=0,"",SUMPRODUCT(E19:$K$19,E4:$K$4)/SUM(E4:$K$4))</f>
        <v>0.26112472877970988</v>
      </c>
      <c r="J24" s="5">
        <f>IF(SUM(G4:$K$4)=0,"",SUMPRODUCT(G19:$K$19,G4:$K$4)/SUM(G4:$K$4))</f>
        <v>0.2711327330959456</v>
      </c>
      <c r="K24" s="5">
        <f>IF(SUM(I4:$K$4)=0, "", SUMPRODUCT(I19:$K$19,I4:$K$4)/SUM(I4:$K$4))</f>
        <v>0.29514566229797012</v>
      </c>
      <c r="L24" s="5">
        <f>L19</f>
        <v>0.30463611241093735</v>
      </c>
      <c r="M24" s="16">
        <f>MAX(K24:L24)</f>
        <v>0.30463611241093735</v>
      </c>
      <c r="N24" s="16">
        <f>MIN(H24:L24)</f>
        <v>0.24053272443004053</v>
      </c>
    </row>
    <row r="25" spans="1:14" x14ac:dyDescent="0.35">
      <c r="G25" t="s">
        <v>23</v>
      </c>
      <c r="H25" s="6">
        <f>IF(ISERROR(AVERAGEIF(B14:$L14,"&gt;0")),"",AVERAGEIF(B14:$L14,"&gt;0"))</f>
        <v>17.899240708468589</v>
      </c>
      <c r="I25" s="6">
        <f>IF(ISERROR(AVERAGEIF(E14:$L14,"&gt;0")),"",AVERAGEIF(E14:$L14,"&gt;0"))</f>
        <v>17.757632398181663</v>
      </c>
      <c r="J25" s="6">
        <f>IF(ISERROR(AVERAGEIF(G14:$L14,"&gt;0")),"",AVERAGEIF(G14:$L14,"&gt;0"))</f>
        <v>20.980112862974387</v>
      </c>
      <c r="K25" s="6">
        <f>IF(ISERROR(AVERAGEIF(I14:$L14,"&gt;0")),"",AVERAGEIF(I14:$L14,"&gt;0"))</f>
        <v>26.463997628625108</v>
      </c>
      <c r="L25" s="6">
        <f>L14</f>
        <v>27.584907229844717</v>
      </c>
      <c r="M25" s="1">
        <f>MAX(K25:L25)</f>
        <v>27.584907229844717</v>
      </c>
      <c r="N25" s="1">
        <f>MIN(H25:L25)</f>
        <v>17.757632398181663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HINDUSTAN AERONAUTICS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5">
      <c r="A4" s="2" t="s">
        <v>6</v>
      </c>
      <c r="B4" s="1">
        <f>'Data Sheet'!B42</f>
        <v>5635.7</v>
      </c>
      <c r="C4" s="1">
        <f>'Data Sheet'!C42</f>
        <v>6061.28</v>
      </c>
      <c r="D4" s="1">
        <f>'Data Sheet'!D42</f>
        <v>14768.75</v>
      </c>
      <c r="E4" s="1">
        <f>'Data Sheet'!E42</f>
        <v>4347.5</v>
      </c>
      <c r="F4" s="1">
        <f>'Data Sheet'!F42</f>
        <v>5976.29</v>
      </c>
      <c r="G4" s="1">
        <f>'Data Sheet'!G42</f>
        <v>6957.31</v>
      </c>
      <c r="H4" s="1">
        <f>'Data Sheet'!H42</f>
        <v>13699.85</v>
      </c>
      <c r="I4" s="1">
        <f>'Data Sheet'!I42</f>
        <v>4819.01</v>
      </c>
      <c r="J4" s="1">
        <f>'Data Sheet'!J42</f>
        <v>6628.61</v>
      </c>
      <c r="K4" s="1">
        <f>'Data Sheet'!K42</f>
        <v>7698.8</v>
      </c>
    </row>
    <row r="5" spans="1:11" x14ac:dyDescent="0.35">
      <c r="A5" t="s">
        <v>7</v>
      </c>
      <c r="B5" s="6">
        <f>'Data Sheet'!B43</f>
        <v>4108.0600000000004</v>
      </c>
      <c r="C5" s="6">
        <f>'Data Sheet'!C43</f>
        <v>4625.95</v>
      </c>
      <c r="D5" s="6">
        <f>'Data Sheet'!D43</f>
        <v>8867.49</v>
      </c>
      <c r="E5" s="6">
        <f>'Data Sheet'!E43</f>
        <v>3356.79</v>
      </c>
      <c r="F5" s="6">
        <f>'Data Sheet'!F43</f>
        <v>4336.33</v>
      </c>
      <c r="G5" s="6">
        <f>'Data Sheet'!G43</f>
        <v>5274.8</v>
      </c>
      <c r="H5" s="6">
        <f>'Data Sheet'!H43</f>
        <v>8404.9500000000007</v>
      </c>
      <c r="I5" s="6">
        <f>'Data Sheet'!I43</f>
        <v>3536.61</v>
      </c>
      <c r="J5" s="6">
        <f>'Data Sheet'!J43</f>
        <v>5070.72</v>
      </c>
      <c r="K5" s="6">
        <f>'Data Sheet'!K43</f>
        <v>5827.83</v>
      </c>
    </row>
    <row r="6" spans="1:11" s="2" customFormat="1" x14ac:dyDescent="0.35">
      <c r="A6" s="2" t="s">
        <v>8</v>
      </c>
      <c r="B6" s="1">
        <f>'Data Sheet'!B50</f>
        <v>1527.64</v>
      </c>
      <c r="C6" s="1">
        <f>'Data Sheet'!C50</f>
        <v>1435.33</v>
      </c>
      <c r="D6" s="1">
        <f>'Data Sheet'!D50</f>
        <v>5901.26</v>
      </c>
      <c r="E6" s="1">
        <f>'Data Sheet'!E50</f>
        <v>990.71</v>
      </c>
      <c r="F6" s="1">
        <f>'Data Sheet'!F50</f>
        <v>1639.96</v>
      </c>
      <c r="G6" s="1">
        <f>'Data Sheet'!G50</f>
        <v>1682.51</v>
      </c>
      <c r="H6" s="1">
        <f>'Data Sheet'!H50</f>
        <v>5294.9</v>
      </c>
      <c r="I6" s="1">
        <f>'Data Sheet'!I50</f>
        <v>1282.4000000000001</v>
      </c>
      <c r="J6" s="1">
        <f>'Data Sheet'!J50</f>
        <v>1557.89</v>
      </c>
      <c r="K6" s="1">
        <f>'Data Sheet'!K50</f>
        <v>1870.97</v>
      </c>
    </row>
    <row r="7" spans="1:11" x14ac:dyDescent="0.35">
      <c r="A7" t="s">
        <v>9</v>
      </c>
      <c r="B7" s="6">
        <f>'Data Sheet'!B44</f>
        <v>473.75</v>
      </c>
      <c r="C7" s="6">
        <f>'Data Sheet'!C44</f>
        <v>466.63</v>
      </c>
      <c r="D7" s="6">
        <f>'Data Sheet'!D44</f>
        <v>569.12</v>
      </c>
      <c r="E7" s="6">
        <f>'Data Sheet'!E44</f>
        <v>742.38</v>
      </c>
      <c r="F7" s="6">
        <f>'Data Sheet'!F44</f>
        <v>560.33000000000004</v>
      </c>
      <c r="G7" s="6">
        <f>'Data Sheet'!G44</f>
        <v>636.83000000000004</v>
      </c>
      <c r="H7" s="6">
        <f>'Data Sheet'!H44</f>
        <v>668.69</v>
      </c>
      <c r="I7" s="6">
        <f>'Data Sheet'!I44</f>
        <v>757.37</v>
      </c>
      <c r="J7" s="6">
        <f>'Data Sheet'!J44</f>
        <v>895.01</v>
      </c>
      <c r="K7" s="6">
        <f>'Data Sheet'!K44</f>
        <v>926.58</v>
      </c>
    </row>
    <row r="8" spans="1:11" x14ac:dyDescent="0.35">
      <c r="A8" t="s">
        <v>10</v>
      </c>
      <c r="B8" s="6">
        <f>'Data Sheet'!B45</f>
        <v>349.65</v>
      </c>
      <c r="C8" s="6">
        <f>'Data Sheet'!C45</f>
        <v>212.17</v>
      </c>
      <c r="D8" s="6">
        <f>'Data Sheet'!D45</f>
        <v>643.97</v>
      </c>
      <c r="E8" s="6">
        <f>'Data Sheet'!E45</f>
        <v>149.22999999999999</v>
      </c>
      <c r="F8" s="6">
        <f>'Data Sheet'!F45</f>
        <v>177.57</v>
      </c>
      <c r="G8" s="6">
        <f>'Data Sheet'!G45</f>
        <v>277.08</v>
      </c>
      <c r="H8" s="6">
        <f>'Data Sheet'!H45</f>
        <v>736.49</v>
      </c>
      <c r="I8" s="6">
        <f>'Data Sheet'!I45</f>
        <v>185.16</v>
      </c>
      <c r="J8" s="6">
        <f>'Data Sheet'!J45</f>
        <v>225.56</v>
      </c>
      <c r="K8" s="6">
        <f>'Data Sheet'!K45</f>
        <v>309.76</v>
      </c>
    </row>
    <row r="9" spans="1:11" x14ac:dyDescent="0.35">
      <c r="A9" t="s">
        <v>11</v>
      </c>
      <c r="B9" s="6">
        <f>'Data Sheet'!B46</f>
        <v>0.32</v>
      </c>
      <c r="C9" s="6">
        <f>'Data Sheet'!C46</f>
        <v>0.36</v>
      </c>
      <c r="D9" s="6">
        <f>'Data Sheet'!D46</f>
        <v>31.41</v>
      </c>
      <c r="E9" s="6">
        <f>'Data Sheet'!E46</f>
        <v>0.14000000000000001</v>
      </c>
      <c r="F9" s="6">
        <f>'Data Sheet'!F46</f>
        <v>0.02</v>
      </c>
      <c r="G9" s="6">
        <f>'Data Sheet'!G46</f>
        <v>0.08</v>
      </c>
      <c r="H9" s="6">
        <f>'Data Sheet'!H46</f>
        <v>8.44</v>
      </c>
      <c r="I9" s="6">
        <f>'Data Sheet'!I46</f>
        <v>0.3</v>
      </c>
      <c r="J9" s="6">
        <f>'Data Sheet'!J46</f>
        <v>0.36</v>
      </c>
      <c r="K9" s="6">
        <f>'Data Sheet'!K46</f>
        <v>0.98</v>
      </c>
    </row>
    <row r="10" spans="1:11" x14ac:dyDescent="0.35">
      <c r="A10" t="s">
        <v>12</v>
      </c>
      <c r="B10" s="6">
        <f>'Data Sheet'!B47</f>
        <v>1651.42</v>
      </c>
      <c r="C10" s="6">
        <f>'Data Sheet'!C47</f>
        <v>1689.43</v>
      </c>
      <c r="D10" s="6">
        <f>'Data Sheet'!D47</f>
        <v>5795</v>
      </c>
      <c r="E10" s="6">
        <f>'Data Sheet'!E47</f>
        <v>1583.72</v>
      </c>
      <c r="F10" s="6">
        <f>'Data Sheet'!F47</f>
        <v>2022.7</v>
      </c>
      <c r="G10" s="6">
        <f>'Data Sheet'!G47</f>
        <v>2042.18</v>
      </c>
      <c r="H10" s="6">
        <f>'Data Sheet'!H47</f>
        <v>5218.66</v>
      </c>
      <c r="I10" s="6">
        <f>'Data Sheet'!I47</f>
        <v>1854.31</v>
      </c>
      <c r="J10" s="6">
        <f>'Data Sheet'!J47</f>
        <v>2226.98</v>
      </c>
      <c r="K10" s="6">
        <f>'Data Sheet'!K47</f>
        <v>2486.81</v>
      </c>
    </row>
    <row r="11" spans="1:11" x14ac:dyDescent="0.35">
      <c r="A11" t="s">
        <v>13</v>
      </c>
      <c r="B11" s="6">
        <f>'Data Sheet'!B48</f>
        <v>414.75</v>
      </c>
      <c r="C11" s="6">
        <f>'Data Sheet'!C48</f>
        <v>427.92</v>
      </c>
      <c r="D11" s="6">
        <f>'Data Sheet'!D48</f>
        <v>1486.32</v>
      </c>
      <c r="E11" s="6">
        <f>'Data Sheet'!E48</f>
        <v>146.58000000000001</v>
      </c>
      <c r="F11" s="6">
        <f>'Data Sheet'!F48</f>
        <v>512.21</v>
      </c>
      <c r="G11" s="6">
        <f>'Data Sheet'!G48</f>
        <v>602.39</v>
      </c>
      <c r="H11" s="6">
        <f>'Data Sheet'!H48</f>
        <v>1242.03</v>
      </c>
      <c r="I11" s="6">
        <f>'Data Sheet'!I48</f>
        <v>470.54</v>
      </c>
      <c r="J11" s="6">
        <f>'Data Sheet'!J48</f>
        <v>557.92999999999995</v>
      </c>
      <c r="K11" s="6">
        <f>'Data Sheet'!K48</f>
        <v>620.15</v>
      </c>
    </row>
    <row r="12" spans="1:11" s="2" customFormat="1" x14ac:dyDescent="0.35">
      <c r="A12" s="2" t="s">
        <v>14</v>
      </c>
      <c r="B12" s="1">
        <f>'Data Sheet'!B49</f>
        <v>1236.7</v>
      </c>
      <c r="C12" s="1">
        <f>'Data Sheet'!C49</f>
        <v>1261.4000000000001</v>
      </c>
      <c r="D12" s="1">
        <f>'Data Sheet'!D49</f>
        <v>4308.71</v>
      </c>
      <c r="E12" s="1">
        <f>'Data Sheet'!E49</f>
        <v>1437.16</v>
      </c>
      <c r="F12" s="1">
        <f>'Data Sheet'!F49</f>
        <v>1510.48</v>
      </c>
      <c r="G12" s="1">
        <f>'Data Sheet'!G49</f>
        <v>1439.83</v>
      </c>
      <c r="H12" s="1">
        <f>'Data Sheet'!H49</f>
        <v>3976.66</v>
      </c>
      <c r="I12" s="1">
        <f>'Data Sheet'!I49</f>
        <v>1383.77</v>
      </c>
      <c r="J12" s="1">
        <f>'Data Sheet'!J49</f>
        <v>1669.07</v>
      </c>
      <c r="K12" s="1">
        <f>'Data Sheet'!K49</f>
        <v>1866.68</v>
      </c>
    </row>
    <row r="14" spans="1:11" s="2" customFormat="1" x14ac:dyDescent="0.35">
      <c r="A14" s="2" t="s">
        <v>18</v>
      </c>
      <c r="B14" s="10">
        <f>IF(B4&gt;0,B6/B4,"")</f>
        <v>0.27106481892222795</v>
      </c>
      <c r="C14" s="10">
        <f t="shared" ref="C14:K14" si="0">IF(C4&gt;0,C6/C4,"")</f>
        <v>0.23680311749333474</v>
      </c>
      <c r="D14" s="10">
        <f t="shared" si="0"/>
        <v>0.39957748624629708</v>
      </c>
      <c r="E14" s="10">
        <f t="shared" si="0"/>
        <v>0.2278803910293272</v>
      </c>
      <c r="F14" s="10">
        <f t="shared" si="0"/>
        <v>0.27441104765665658</v>
      </c>
      <c r="G14" s="10">
        <f t="shared" si="0"/>
        <v>0.24183340975175749</v>
      </c>
      <c r="H14" s="10">
        <f t="shared" si="0"/>
        <v>0.38649328277316902</v>
      </c>
      <c r="I14" s="10">
        <f t="shared" si="0"/>
        <v>0.26611274929912992</v>
      </c>
      <c r="J14" s="10">
        <f t="shared" si="0"/>
        <v>0.23502514101749841</v>
      </c>
      <c r="K14" s="10">
        <f t="shared" si="0"/>
        <v>0.24302099028420013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HINDUSTAN AERONAUTICS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5">
      <c r="A4" t="s">
        <v>24</v>
      </c>
      <c r="B4" s="14">
        <f>'Data Sheet'!B57</f>
        <v>361.5</v>
      </c>
      <c r="C4" s="14">
        <f>'Data Sheet'!C57</f>
        <v>361.5</v>
      </c>
      <c r="D4" s="14">
        <f>'Data Sheet'!D57</f>
        <v>334.39</v>
      </c>
      <c r="E4" s="14">
        <f>'Data Sheet'!E57</f>
        <v>334.39</v>
      </c>
      <c r="F4" s="14">
        <f>'Data Sheet'!F57</f>
        <v>334.39</v>
      </c>
      <c r="G4" s="14">
        <f>'Data Sheet'!G57</f>
        <v>334.39</v>
      </c>
      <c r="H4" s="14">
        <f>'Data Sheet'!H57</f>
        <v>334.39</v>
      </c>
      <c r="I4" s="14">
        <f>'Data Sheet'!I57</f>
        <v>334.39</v>
      </c>
      <c r="J4" s="14">
        <f>'Data Sheet'!J57</f>
        <v>334.39</v>
      </c>
      <c r="K4" s="14">
        <f>'Data Sheet'!K57</f>
        <v>334.39</v>
      </c>
    </row>
    <row r="5" spans="1:11" x14ac:dyDescent="0.35">
      <c r="A5" t="s">
        <v>25</v>
      </c>
      <c r="B5" s="14">
        <f>'Data Sheet'!B58</f>
        <v>10670.9</v>
      </c>
      <c r="C5" s="14">
        <f>'Data Sheet'!C58</f>
        <v>12197.61</v>
      </c>
      <c r="D5" s="14">
        <f>'Data Sheet'!D58</f>
        <v>9176.86</v>
      </c>
      <c r="E5" s="14">
        <f>'Data Sheet'!E58</f>
        <v>11747.73</v>
      </c>
      <c r="F5" s="14">
        <f>'Data Sheet'!F58</f>
        <v>12914.12</v>
      </c>
      <c r="G5" s="14">
        <f>'Data Sheet'!G58</f>
        <v>15089.51</v>
      </c>
      <c r="H5" s="14">
        <f>'Data Sheet'!H58</f>
        <v>18978.740000000002</v>
      </c>
      <c r="I5" s="14">
        <f>'Data Sheet'!I58</f>
        <v>23237.759999999998</v>
      </c>
      <c r="J5" s="14">
        <f>'Data Sheet'!J58</f>
        <v>28803.78</v>
      </c>
      <c r="K5" s="14">
        <f>'Data Sheet'!K58</f>
        <v>34647.22</v>
      </c>
    </row>
    <row r="6" spans="1:11" x14ac:dyDescent="0.35">
      <c r="A6" t="s">
        <v>71</v>
      </c>
      <c r="B6" s="14">
        <f>'Data Sheet'!B59</f>
        <v>79.8</v>
      </c>
      <c r="C6" s="14">
        <f>'Data Sheet'!C59</f>
        <v>1022.03</v>
      </c>
      <c r="D6" s="14">
        <f>'Data Sheet'!D59</f>
        <v>904.52</v>
      </c>
      <c r="E6" s="14">
        <f>'Data Sheet'!E59</f>
        <v>4116.2</v>
      </c>
      <c r="F6" s="14">
        <f>'Data Sheet'!F59</f>
        <v>5926.97</v>
      </c>
      <c r="G6" s="14">
        <f>'Data Sheet'!G59</f>
        <v>53.28</v>
      </c>
      <c r="H6" s="14">
        <f>'Data Sheet'!H59</f>
        <v>49.27</v>
      </c>
      <c r="I6" s="14">
        <f>'Data Sheet'!I59</f>
        <v>51.69</v>
      </c>
      <c r="J6" s="14">
        <f>'Data Sheet'!J59</f>
        <v>50.12</v>
      </c>
      <c r="K6" s="14">
        <f>'Data Sheet'!K59</f>
        <v>51.44</v>
      </c>
    </row>
    <row r="7" spans="1:11" x14ac:dyDescent="0.35">
      <c r="A7" t="s">
        <v>72</v>
      </c>
      <c r="B7" s="14">
        <f>'Data Sheet'!B60</f>
        <v>45419.7</v>
      </c>
      <c r="C7" s="14">
        <f>'Data Sheet'!C60</f>
        <v>38162.559999999998</v>
      </c>
      <c r="D7" s="14">
        <f>'Data Sheet'!D60</f>
        <v>38046.839999999997</v>
      </c>
      <c r="E7" s="14">
        <f>'Data Sheet'!E60</f>
        <v>35298.01</v>
      </c>
      <c r="F7" s="14">
        <f>'Data Sheet'!F60</f>
        <v>35027.18</v>
      </c>
      <c r="G7" s="14">
        <f>'Data Sheet'!G60</f>
        <v>37619.24</v>
      </c>
      <c r="H7" s="14">
        <f>'Data Sheet'!H60</f>
        <v>40891.94</v>
      </c>
      <c r="I7" s="14">
        <f>'Data Sheet'!I60</f>
        <v>45652.160000000003</v>
      </c>
      <c r="J7" s="14">
        <f>'Data Sheet'!J60</f>
        <v>51722.55</v>
      </c>
      <c r="K7" s="14">
        <f>'Data Sheet'!K60</f>
        <v>73665.41</v>
      </c>
    </row>
    <row r="8" spans="1:11" s="2" customFormat="1" x14ac:dyDescent="0.35">
      <c r="A8" s="2" t="s">
        <v>26</v>
      </c>
      <c r="B8" s="15">
        <f>'Data Sheet'!B61</f>
        <v>56531.9</v>
      </c>
      <c r="C8" s="15">
        <f>'Data Sheet'!C61</f>
        <v>51743.7</v>
      </c>
      <c r="D8" s="15">
        <f>'Data Sheet'!D61</f>
        <v>48462.61</v>
      </c>
      <c r="E8" s="15">
        <f>'Data Sheet'!E61</f>
        <v>51496.33</v>
      </c>
      <c r="F8" s="15">
        <f>'Data Sheet'!F61</f>
        <v>54202.66</v>
      </c>
      <c r="G8" s="15">
        <f>'Data Sheet'!G61</f>
        <v>53096.42</v>
      </c>
      <c r="H8" s="15">
        <f>'Data Sheet'!H61</f>
        <v>60254.34</v>
      </c>
      <c r="I8" s="15">
        <f>'Data Sheet'!I61</f>
        <v>69276</v>
      </c>
      <c r="J8" s="15">
        <f>'Data Sheet'!J61</f>
        <v>80910.84</v>
      </c>
      <c r="K8" s="15">
        <f>'Data Sheet'!K61</f>
        <v>108698.46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6925.2</v>
      </c>
      <c r="C10" s="14">
        <f>'Data Sheet'!C62</f>
        <v>7349.56</v>
      </c>
      <c r="D10" s="14">
        <f>'Data Sheet'!D62</f>
        <v>7566.22</v>
      </c>
      <c r="E10" s="14">
        <f>'Data Sheet'!E62</f>
        <v>7459.35</v>
      </c>
      <c r="F10" s="14">
        <f>'Data Sheet'!F62</f>
        <v>7357.49</v>
      </c>
      <c r="G10" s="14">
        <f>'Data Sheet'!G62</f>
        <v>7165.88</v>
      </c>
      <c r="H10" s="14">
        <f>'Data Sheet'!H62</f>
        <v>6765.88</v>
      </c>
      <c r="I10" s="14">
        <f>'Data Sheet'!I62</f>
        <v>6834.4</v>
      </c>
      <c r="J10" s="14">
        <f>'Data Sheet'!J62</f>
        <v>6736.89</v>
      </c>
      <c r="K10" s="14">
        <f>'Data Sheet'!K62</f>
        <v>6670.8</v>
      </c>
    </row>
    <row r="11" spans="1:11" x14ac:dyDescent="0.35">
      <c r="A11" t="s">
        <v>28</v>
      </c>
      <c r="B11" s="14">
        <f>'Data Sheet'!B63</f>
        <v>1025.4000000000001</v>
      </c>
      <c r="C11" s="14">
        <f>'Data Sheet'!C63</f>
        <v>1389.4</v>
      </c>
      <c r="D11" s="14">
        <f>'Data Sheet'!D63</f>
        <v>1461.72</v>
      </c>
      <c r="E11" s="14">
        <f>'Data Sheet'!E63</f>
        <v>1502.11</v>
      </c>
      <c r="F11" s="14">
        <f>'Data Sheet'!F63</f>
        <v>2042.69</v>
      </c>
      <c r="G11" s="14">
        <f>'Data Sheet'!G63</f>
        <v>1949.6</v>
      </c>
      <c r="H11" s="14">
        <f>'Data Sheet'!H63</f>
        <v>2472.94</v>
      </c>
      <c r="I11" s="14">
        <f>'Data Sheet'!I63</f>
        <v>1885</v>
      </c>
      <c r="J11" s="14">
        <f>'Data Sheet'!J63</f>
        <v>2493.4299999999998</v>
      </c>
      <c r="K11" s="14">
        <f>'Data Sheet'!K63</f>
        <v>3097.75</v>
      </c>
    </row>
    <row r="12" spans="1:11" x14ac:dyDescent="0.35">
      <c r="A12" t="s">
        <v>29</v>
      </c>
      <c r="B12" s="14">
        <f>'Data Sheet'!B64</f>
        <v>915.8</v>
      </c>
      <c r="C12" s="14">
        <f>'Data Sheet'!C64</f>
        <v>993.99</v>
      </c>
      <c r="D12" s="14">
        <f>'Data Sheet'!D64</f>
        <v>1010.11</v>
      </c>
      <c r="E12" s="14">
        <f>'Data Sheet'!E64</f>
        <v>909.64</v>
      </c>
      <c r="F12" s="14">
        <f>'Data Sheet'!F64</f>
        <v>990.8</v>
      </c>
      <c r="G12" s="14">
        <f>'Data Sheet'!G64</f>
        <v>1121.32</v>
      </c>
      <c r="H12" s="14">
        <f>'Data Sheet'!H64</f>
        <v>1362.7</v>
      </c>
      <c r="I12" s="14">
        <f>'Data Sheet'!I64</f>
        <v>1457.92</v>
      </c>
      <c r="J12" s="14">
        <f>'Data Sheet'!J64</f>
        <v>1591.33</v>
      </c>
      <c r="K12" s="14">
        <f>'Data Sheet'!K64</f>
        <v>1754.2</v>
      </c>
    </row>
    <row r="13" spans="1:11" x14ac:dyDescent="0.35">
      <c r="A13" t="s">
        <v>73</v>
      </c>
      <c r="B13" s="14">
        <f>'Data Sheet'!B65</f>
        <v>47665.5</v>
      </c>
      <c r="C13" s="14">
        <f>'Data Sheet'!C65</f>
        <v>42010.75</v>
      </c>
      <c r="D13" s="14">
        <f>'Data Sheet'!D65</f>
        <v>38424.559999999998</v>
      </c>
      <c r="E13" s="14">
        <f>'Data Sheet'!E65</f>
        <v>41625.230000000003</v>
      </c>
      <c r="F13" s="14">
        <f>'Data Sheet'!F65</f>
        <v>43811.68</v>
      </c>
      <c r="G13" s="14">
        <f>'Data Sheet'!G65</f>
        <v>42859.62</v>
      </c>
      <c r="H13" s="14">
        <f>'Data Sheet'!H65</f>
        <v>49652.82</v>
      </c>
      <c r="I13" s="14">
        <f>'Data Sheet'!I65</f>
        <v>59098.68</v>
      </c>
      <c r="J13" s="14">
        <f>'Data Sheet'!J65</f>
        <v>70089.19</v>
      </c>
      <c r="K13" s="14">
        <f>'Data Sheet'!K65</f>
        <v>97175.71</v>
      </c>
    </row>
    <row r="14" spans="1:11" s="2" customFormat="1" x14ac:dyDescent="0.35">
      <c r="A14" s="2" t="s">
        <v>26</v>
      </c>
      <c r="B14" s="14">
        <f>'Data Sheet'!B66</f>
        <v>56531.9</v>
      </c>
      <c r="C14" s="14">
        <f>'Data Sheet'!C66</f>
        <v>51743.7</v>
      </c>
      <c r="D14" s="14">
        <f>'Data Sheet'!D66</f>
        <v>48462.61</v>
      </c>
      <c r="E14" s="14">
        <f>'Data Sheet'!E66</f>
        <v>51496.33</v>
      </c>
      <c r="F14" s="14">
        <f>'Data Sheet'!F66</f>
        <v>54202.66</v>
      </c>
      <c r="G14" s="14">
        <f>'Data Sheet'!G66</f>
        <v>53096.42</v>
      </c>
      <c r="H14" s="14">
        <f>'Data Sheet'!H66</f>
        <v>60254.34</v>
      </c>
      <c r="I14" s="14">
        <f>'Data Sheet'!I66</f>
        <v>69276</v>
      </c>
      <c r="J14" s="14">
        <f>'Data Sheet'!J66</f>
        <v>80910.84</v>
      </c>
      <c r="K14" s="14">
        <f>'Data Sheet'!K66</f>
        <v>108698.46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2245.8000000000029</v>
      </c>
      <c r="C16" s="4">
        <f t="shared" ref="C16:K16" si="0">C13-C7</f>
        <v>3848.1900000000023</v>
      </c>
      <c r="D16" s="4">
        <f t="shared" si="0"/>
        <v>377.72000000000116</v>
      </c>
      <c r="E16" s="4">
        <f t="shared" si="0"/>
        <v>6327.2200000000012</v>
      </c>
      <c r="F16" s="4">
        <f t="shared" si="0"/>
        <v>8784.5</v>
      </c>
      <c r="G16" s="4">
        <f t="shared" si="0"/>
        <v>5240.3800000000047</v>
      </c>
      <c r="H16" s="4">
        <f t="shared" si="0"/>
        <v>8760.8799999999974</v>
      </c>
      <c r="I16" s="4">
        <f t="shared" si="0"/>
        <v>13446.519999999997</v>
      </c>
      <c r="J16" s="4">
        <f t="shared" si="0"/>
        <v>18366.64</v>
      </c>
      <c r="K16" s="4">
        <f t="shared" si="0"/>
        <v>23510.300000000003</v>
      </c>
    </row>
    <row r="17" spans="1:11" x14ac:dyDescent="0.35">
      <c r="A17" t="s">
        <v>44</v>
      </c>
      <c r="B17" s="4">
        <f>'Data Sheet'!B67</f>
        <v>4836.8999999999996</v>
      </c>
      <c r="C17" s="4">
        <f>'Data Sheet'!C67</f>
        <v>4220.16</v>
      </c>
      <c r="D17" s="4">
        <f>'Data Sheet'!D67</f>
        <v>6751.54</v>
      </c>
      <c r="E17" s="4">
        <f>'Data Sheet'!E67</f>
        <v>12458</v>
      </c>
      <c r="F17" s="4">
        <f>'Data Sheet'!F67</f>
        <v>11234.73</v>
      </c>
      <c r="G17" s="4">
        <f>'Data Sheet'!G67</f>
        <v>5668.05</v>
      </c>
      <c r="H17" s="4">
        <f>'Data Sheet'!H67</f>
        <v>4641.53</v>
      </c>
      <c r="I17" s="4">
        <f>'Data Sheet'!I67</f>
        <v>4719.18</v>
      </c>
      <c r="J17" s="4">
        <f>'Data Sheet'!J67</f>
        <v>4616.8500000000004</v>
      </c>
      <c r="K17" s="4">
        <f>'Data Sheet'!K67</f>
        <v>4647.79</v>
      </c>
    </row>
    <row r="18" spans="1:11" x14ac:dyDescent="0.35">
      <c r="A18" t="s">
        <v>45</v>
      </c>
      <c r="B18" s="4">
        <f>'Data Sheet'!B68</f>
        <v>23981.7</v>
      </c>
      <c r="C18" s="4">
        <f>'Data Sheet'!C68</f>
        <v>21519.73</v>
      </c>
      <c r="D18" s="4">
        <f>'Data Sheet'!D68</f>
        <v>20130.73</v>
      </c>
      <c r="E18" s="4">
        <f>'Data Sheet'!E68</f>
        <v>20446.8</v>
      </c>
      <c r="F18" s="4">
        <f>'Data Sheet'!F68</f>
        <v>20361.18</v>
      </c>
      <c r="G18" s="4">
        <f>'Data Sheet'!G68</f>
        <v>18005.41</v>
      </c>
      <c r="H18" s="4">
        <f>'Data Sheet'!H68</f>
        <v>16209.64</v>
      </c>
      <c r="I18" s="4">
        <f>'Data Sheet'!I68</f>
        <v>14220.89</v>
      </c>
      <c r="J18" s="4">
        <f>'Data Sheet'!J68</f>
        <v>16033.2</v>
      </c>
      <c r="K18" s="4">
        <f>'Data Sheet'!K68</f>
        <v>24107.31</v>
      </c>
    </row>
    <row r="20" spans="1:11" x14ac:dyDescent="0.35">
      <c r="A20" t="s">
        <v>46</v>
      </c>
      <c r="B20" s="4">
        <f>IF('Profit &amp; Loss'!B4&gt;0,'Balance Sheet'!B17/('Profit &amp; Loss'!B4/365),0)</f>
        <v>105.34764447892114</v>
      </c>
      <c r="C20" s="4">
        <f>IF('Profit &amp; Loss'!C4&gt;0,'Balance Sheet'!C17/('Profit &amp; Loss'!C4/365),0)</f>
        <v>85.814220899034652</v>
      </c>
      <c r="D20" s="4">
        <f>IF('Profit &amp; Loss'!D4&gt;0,'Balance Sheet'!D17/('Profit &amp; Loss'!D4/365),0)</f>
        <v>133.06407649351448</v>
      </c>
      <c r="E20" s="4">
        <f>IF('Profit &amp; Loss'!E4&gt;0,'Balance Sheet'!E17/('Profit &amp; Loss'!E4/365),0)</f>
        <v>227.26498046054047</v>
      </c>
      <c r="F20" s="4">
        <f>IF('Profit &amp; Loss'!F4&gt;0,'Balance Sheet'!F17/('Profit &amp; Loss'!F4/365),0)</f>
        <v>191.21687364421624</v>
      </c>
      <c r="G20" s="4">
        <f>IF('Profit &amp; Loss'!G4&gt;0,'Balance Sheet'!G17/('Profit &amp; Loss'!G4/365),0)</f>
        <v>90.412084526394182</v>
      </c>
      <c r="H20" s="4">
        <f>IF('Profit &amp; Loss'!H4&gt;0,'Balance Sheet'!H17/('Profit &amp; Loss'!H4/365),0)</f>
        <v>68.812228828408749</v>
      </c>
      <c r="I20" s="4">
        <f>IF('Profit &amp; Loss'!I4&gt;0,'Balance Sheet'!I17/('Profit &amp; Loss'!I4/365),0)</f>
        <v>63.968183408312562</v>
      </c>
      <c r="J20" s="4">
        <f>IF('Profit &amp; Loss'!J4&gt;0,'Balance Sheet'!J17/('Profit &amp; Loss'!J4/365),0)</f>
        <v>55.467094981481893</v>
      </c>
      <c r="K20" s="4">
        <f>IF('Profit &amp; Loss'!K4&gt;0,'Balance Sheet'!K17/('Profit &amp; Loss'!K4/365),0)</f>
        <v>54.757628478145435</v>
      </c>
    </row>
    <row r="21" spans="1:11" x14ac:dyDescent="0.35">
      <c r="A21" t="s">
        <v>47</v>
      </c>
      <c r="B21" s="4">
        <f>IF('Balance Sheet'!B18&gt;0,'Profit &amp; Loss'!B4/'Balance Sheet'!B18,0)</f>
        <v>0.69880367113257191</v>
      </c>
      <c r="C21" s="4">
        <f>IF('Balance Sheet'!C18&gt;0,'Profit &amp; Loss'!C4/'Balance Sheet'!C18,0)</f>
        <v>0.83411455441123095</v>
      </c>
      <c r="D21" s="4">
        <f>IF('Balance Sheet'!D18&gt;0,'Profit &amp; Loss'!D4/'Balance Sheet'!D18,0)</f>
        <v>0.91997359261189249</v>
      </c>
      <c r="E21" s="4">
        <f>IF('Balance Sheet'!E18&gt;0,'Profit &amp; Loss'!E4/'Balance Sheet'!E18,0)</f>
        <v>0.97855067785668171</v>
      </c>
      <c r="F21" s="4">
        <f>IF('Balance Sheet'!F18&gt;0,'Profit &amp; Loss'!F4/'Balance Sheet'!F18,0)</f>
        <v>1.0532375824976745</v>
      </c>
      <c r="G21" s="4">
        <f>IF('Balance Sheet'!G18&gt;0,'Profit &amp; Loss'!G4/'Balance Sheet'!G18,0)</f>
        <v>1.2708580365567905</v>
      </c>
      <c r="H21" s="4">
        <f>IF('Balance Sheet'!H18&gt;0,'Profit &amp; Loss'!H4/'Balance Sheet'!H18,0)</f>
        <v>1.5188505111772994</v>
      </c>
      <c r="I21" s="4">
        <f>IF('Balance Sheet'!I18&gt;0,'Profit &amp; Loss'!I4/'Balance Sheet'!I18,0)</f>
        <v>1.893514400294215</v>
      </c>
      <c r="J21" s="4">
        <f>IF('Balance Sheet'!J18&gt;0,'Profit &amp; Loss'!J4/'Balance Sheet'!J18,0)</f>
        <v>1.8948856123543647</v>
      </c>
      <c r="K21" s="4">
        <f>IF('Balance Sheet'!K18&gt;0,'Profit &amp; Loss'!K4/'Balance Sheet'!K18,0)</f>
        <v>1.2851267934912687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0.18167397846343497</v>
      </c>
      <c r="C23" s="10">
        <f>IF(SUM('Balance Sheet'!C4:C5)&gt;0,'Profit &amp; Loss'!C12/SUM('Balance Sheet'!C4:C5),"")</f>
        <v>0.20899649736326856</v>
      </c>
      <c r="D23" s="10">
        <f>IF(SUM('Balance Sheet'!D4:D5)&gt;0,'Profit &amp; Loss'!D12/SUM('Balance Sheet'!D4:D5),"")</f>
        <v>0.20927533184386909</v>
      </c>
      <c r="E23" s="10">
        <f>IF(SUM('Balance Sheet'!E4:E5)&gt;0,'Profit &amp; Loss'!E12/SUM('Balance Sheet'!E4:E5),"")</f>
        <v>0.19273356000437011</v>
      </c>
      <c r="F23" s="10">
        <f>IF(SUM('Balance Sheet'!F4:F5)&gt;0,'Profit &amp; Loss'!F12/SUM('Balance Sheet'!F4:F5),"")</f>
        <v>0.21759579001714155</v>
      </c>
      <c r="G23" s="10">
        <f>IF(SUM('Balance Sheet'!G4:G5)&gt;0,'Profit &amp; Loss'!G12/SUM('Balance Sheet'!G4:G5),"")</f>
        <v>0.21044936753998664</v>
      </c>
      <c r="H23" s="10">
        <f>IF(SUM('Balance Sheet'!H4:H5)&gt;0,'Profit &amp; Loss'!H12/SUM('Balance Sheet'!H4:H5),"")</f>
        <v>0.26303556181727145</v>
      </c>
      <c r="I23" s="10">
        <f>IF(SUM('Balance Sheet'!I4:I5)&gt;0,'Profit &amp; Loss'!I12/SUM('Balance Sheet'!I4:I5),"")</f>
        <v>0.24722988781252453</v>
      </c>
      <c r="J23" s="10">
        <f>IF(SUM('Balance Sheet'!J4:J5)&gt;0,'Profit &amp; Loss'!J12/SUM('Balance Sheet'!J4:J5),"")</f>
        <v>0.26154868339363802</v>
      </c>
      <c r="K23" s="10">
        <f>IF(SUM('Balance Sheet'!K4:K5)&gt;0,'Profit &amp; Loss'!K12/SUM('Balance Sheet'!K4:K5),"")</f>
        <v>0.23910077323485107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0.29224155177063943</v>
      </c>
      <c r="D24" s="10">
        <f>IF((C4+C5+C6+D4+D5+D6)&gt;0,('Profit &amp; Loss'!D10+'Profit &amp; Loss'!D9)*2/(C4+C5+C6+D4+D5+D6),"")</f>
        <v>0.27314350055903031</v>
      </c>
      <c r="E24" s="10">
        <f>IF((D4+D5+D6+E4+E5+E6)&gt;0,('Profit &amp; Loss'!E10+'Profit &amp; Loss'!E9)*2/(D4+D5+D6+E4+E5+E6),"")</f>
        <v>0.29324767444612981</v>
      </c>
      <c r="F24" s="10">
        <f>IF((E4+E5+E6+F4+F5+F6)&gt;0,('Profit &amp; Loss'!F10+'Profit &amp; Loss'!F9)*2/(E4+E5+E6+F4+F5+F6),"")</f>
        <v>0.24527927449129011</v>
      </c>
      <c r="G24" s="10">
        <f>IF((F4+F5+F6+G4+G5+G6)&gt;0,('Profit &amp; Loss'!G10+'Profit &amp; Loss'!G9)*2/(F4+F5+F6+G4+G5+G6),"")</f>
        <v>0.26262745774783236</v>
      </c>
      <c r="H24" s="10">
        <f>IF((G4+G5+G6+H4+H5+H6)&gt;0,('Profit &amp; Loss'!H10+'Profit &amp; Loss'!H9)*2/(G4+G5+G6+H4+H5+H6),"")</f>
        <v>0.30366439549500884</v>
      </c>
      <c r="I24" s="10">
        <f>IF((H4+H5+H6+I4+I5+I6)&gt;0,('Profit &amp; Loss'!I10+'Profit &amp; Loss'!I9)*2/(H4+H5+H6+I4+I5+I6),"")</f>
        <v>0.30586113137599374</v>
      </c>
      <c r="J24" s="10">
        <f>IF((I4+I5+I6+J4+J5+J6)&gt;0,('Profit &amp; Loss'!J10+'Profit &amp; Loss'!J9)*2/(I4+I5+I6+J4+J5+J6),"")</f>
        <v>0.38883150518640314</v>
      </c>
      <c r="K24" s="10">
        <f>IF((J4+J5+J6+K4+K5+K6)&gt;0,('Profit &amp; Loss'!K10+'Profit &amp; Loss'!K9)*2/(J4+J5+J6+K4+K5+K6),"")</f>
        <v>0.3391047274940075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HINDUSTAN AERONAUTICS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5">
      <c r="A4" s="2" t="s">
        <v>32</v>
      </c>
      <c r="B4" s="1">
        <f>'Data Sheet'!B82</f>
        <v>0</v>
      </c>
      <c r="C4" s="1">
        <f>'Data Sheet'!C82</f>
        <v>-404.5</v>
      </c>
      <c r="D4" s="1">
        <f>'Data Sheet'!D82</f>
        <v>-747.6</v>
      </c>
      <c r="E4" s="1">
        <f>'Data Sheet'!E82</f>
        <v>-7700.28</v>
      </c>
      <c r="F4" s="1">
        <f>'Data Sheet'!F82</f>
        <v>1527.39</v>
      </c>
      <c r="G4" s="1">
        <f>'Data Sheet'!G82</f>
        <v>15117</v>
      </c>
      <c r="H4" s="1">
        <f>'Data Sheet'!H82</f>
        <v>10173.129999999999</v>
      </c>
      <c r="I4" s="1">
        <f>'Data Sheet'!I82</f>
        <v>8829.7199999999993</v>
      </c>
      <c r="J4" s="1">
        <f>'Data Sheet'!J82</f>
        <v>8222.82</v>
      </c>
      <c r="K4" s="1">
        <f>'Data Sheet'!K82</f>
        <v>13643.46</v>
      </c>
    </row>
    <row r="5" spans="1:11" x14ac:dyDescent="0.35">
      <c r="A5" t="s">
        <v>33</v>
      </c>
      <c r="B5" s="6">
        <f>'Data Sheet'!B83</f>
        <v>0</v>
      </c>
      <c r="C5" s="6">
        <f>'Data Sheet'!C83</f>
        <v>3011.8</v>
      </c>
      <c r="D5" s="6">
        <f>'Data Sheet'!D83</f>
        <v>597</v>
      </c>
      <c r="E5" s="6">
        <f>'Data Sheet'!E83</f>
        <v>5294.17</v>
      </c>
      <c r="F5" s="6">
        <f>'Data Sheet'!F83</f>
        <v>-1338.88</v>
      </c>
      <c r="G5" s="6">
        <f>'Data Sheet'!G83</f>
        <v>-1179.99</v>
      </c>
      <c r="H5" s="6">
        <f>'Data Sheet'!H83</f>
        <v>-12785.23</v>
      </c>
      <c r="I5" s="6">
        <f>'Data Sheet'!I83</f>
        <v>-5728.02</v>
      </c>
      <c r="J5" s="6">
        <f>'Data Sheet'!J83</f>
        <v>-6410.05</v>
      </c>
      <c r="K5" s="6">
        <f>'Data Sheet'!K83</f>
        <v>-10771.09</v>
      </c>
    </row>
    <row r="6" spans="1:11" x14ac:dyDescent="0.35">
      <c r="A6" t="s">
        <v>34</v>
      </c>
      <c r="B6" s="6">
        <f>'Data Sheet'!B84</f>
        <v>0</v>
      </c>
      <c r="C6" s="6">
        <f>'Data Sheet'!C84</f>
        <v>-164.28</v>
      </c>
      <c r="D6" s="6">
        <f>'Data Sheet'!D84</f>
        <v>-2540.35</v>
      </c>
      <c r="E6" s="6">
        <f>'Data Sheet'!E84</f>
        <v>2326.11</v>
      </c>
      <c r="F6" s="6">
        <f>'Data Sheet'!F84</f>
        <v>63.94</v>
      </c>
      <c r="G6" s="6">
        <f>'Data Sheet'!G84</f>
        <v>-7070.18</v>
      </c>
      <c r="H6" s="6">
        <f>'Data Sheet'!H84</f>
        <v>-1463.68</v>
      </c>
      <c r="I6" s="6">
        <f>'Data Sheet'!I84</f>
        <v>-1731.3</v>
      </c>
      <c r="J6" s="6">
        <f>'Data Sheet'!J84</f>
        <v>-1998.85</v>
      </c>
      <c r="K6" s="6">
        <f>'Data Sheet'!K84</f>
        <v>-2578.5100000000002</v>
      </c>
    </row>
    <row r="7" spans="1:11" s="2" customFormat="1" x14ac:dyDescent="0.35">
      <c r="A7" s="2" t="s">
        <v>35</v>
      </c>
      <c r="B7" s="1">
        <f>'Data Sheet'!B85</f>
        <v>0</v>
      </c>
      <c r="C7" s="1">
        <f>'Data Sheet'!C85</f>
        <v>2443.02</v>
      </c>
      <c r="D7" s="1">
        <f>'Data Sheet'!D85</f>
        <v>-2690.95</v>
      </c>
      <c r="E7" s="1">
        <f>'Data Sheet'!E85</f>
        <v>-80</v>
      </c>
      <c r="F7" s="1">
        <f>'Data Sheet'!F85</f>
        <v>252.45</v>
      </c>
      <c r="G7" s="1">
        <f>'Data Sheet'!G85</f>
        <v>6866.83</v>
      </c>
      <c r="H7" s="1">
        <f>'Data Sheet'!H85</f>
        <v>-4075.78</v>
      </c>
      <c r="I7" s="1">
        <f>'Data Sheet'!I85</f>
        <v>1370.4</v>
      </c>
      <c r="J7" s="1">
        <f>'Data Sheet'!J85</f>
        <v>-186.08</v>
      </c>
      <c r="K7" s="1">
        <f>'Data Sheet'!K85</f>
        <v>293.86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66.877500408786176</v>
      </c>
    </row>
    <row r="7" spans="1:11" x14ac:dyDescent="0.35">
      <c r="A7" s="4" t="s">
        <v>31</v>
      </c>
      <c r="B7">
        <v>5</v>
      </c>
    </row>
    <row r="8" spans="1:11" x14ac:dyDescent="0.35">
      <c r="A8" s="4" t="s">
        <v>43</v>
      </c>
      <c r="B8">
        <v>3669.4</v>
      </c>
    </row>
    <row r="9" spans="1:11" x14ac:dyDescent="0.35">
      <c r="A9" s="4" t="s">
        <v>79</v>
      </c>
      <c r="B9">
        <v>245400.3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5">
      <c r="A17" s="6" t="s">
        <v>6</v>
      </c>
      <c r="B17">
        <v>16758.5</v>
      </c>
      <c r="C17">
        <v>17949.919999999998</v>
      </c>
      <c r="D17">
        <v>18519.740000000002</v>
      </c>
      <c r="E17">
        <v>20008.23</v>
      </c>
      <c r="F17">
        <v>21445.16</v>
      </c>
      <c r="G17">
        <v>22882.32</v>
      </c>
      <c r="H17">
        <v>24620.02</v>
      </c>
      <c r="I17">
        <v>26927.46</v>
      </c>
      <c r="J17">
        <v>30381.08</v>
      </c>
      <c r="K17">
        <v>30980.95</v>
      </c>
    </row>
    <row r="18" spans="1:11" s="6" customFormat="1" x14ac:dyDescent="0.35">
      <c r="A18" s="4" t="s">
        <v>80</v>
      </c>
      <c r="B18">
        <v>9175.6</v>
      </c>
      <c r="C18">
        <v>8425.61</v>
      </c>
      <c r="D18">
        <v>7712.8</v>
      </c>
      <c r="E18">
        <v>7301.75</v>
      </c>
      <c r="F18">
        <v>8483.24</v>
      </c>
      <c r="G18">
        <v>8467.86</v>
      </c>
      <c r="H18">
        <v>9151.74</v>
      </c>
      <c r="I18">
        <v>10536.96</v>
      </c>
      <c r="J18">
        <v>12718.89</v>
      </c>
      <c r="K18">
        <v>19589.16</v>
      </c>
    </row>
    <row r="19" spans="1:11" s="6" customFormat="1" x14ac:dyDescent="0.35">
      <c r="A19" s="4" t="s">
        <v>81</v>
      </c>
      <c r="B19">
        <v>562.4</v>
      </c>
      <c r="C19">
        <v>-510.92</v>
      </c>
      <c r="D19">
        <v>-728.64</v>
      </c>
      <c r="E19">
        <v>-1172.1500000000001</v>
      </c>
      <c r="F19">
        <v>-635.67999999999995</v>
      </c>
      <c r="G19">
        <v>-2458.14</v>
      </c>
      <c r="H19">
        <v>-592.29999999999995</v>
      </c>
      <c r="I19">
        <v>690.72</v>
      </c>
      <c r="J19">
        <v>1958.64</v>
      </c>
      <c r="K19">
        <v>7625.79</v>
      </c>
    </row>
    <row r="20" spans="1:11" s="6" customFormat="1" x14ac:dyDescent="0.35">
      <c r="A20" s="4" t="s">
        <v>82</v>
      </c>
      <c r="B20">
        <v>233.8</v>
      </c>
      <c r="C20">
        <v>171.87</v>
      </c>
      <c r="D20">
        <v>175.78</v>
      </c>
      <c r="E20">
        <v>182.21</v>
      </c>
      <c r="F20">
        <v>151.37</v>
      </c>
      <c r="G20">
        <v>183.39</v>
      </c>
      <c r="H20">
        <v>200.47</v>
      </c>
      <c r="I20">
        <v>202.55</v>
      </c>
      <c r="J20">
        <v>210.48</v>
      </c>
      <c r="K20">
        <v>211.98</v>
      </c>
    </row>
    <row r="21" spans="1:11" s="6" customFormat="1" x14ac:dyDescent="0.35">
      <c r="A21" s="4" t="s">
        <v>83</v>
      </c>
      <c r="B21">
        <v>391.4</v>
      </c>
      <c r="C21">
        <v>1160.02</v>
      </c>
      <c r="D21">
        <v>1292.02</v>
      </c>
      <c r="E21">
        <v>1120.3800000000001</v>
      </c>
      <c r="F21">
        <v>889.29</v>
      </c>
      <c r="G21">
        <v>923.25</v>
      </c>
      <c r="H21">
        <v>945.09</v>
      </c>
      <c r="I21">
        <v>1201.69</v>
      </c>
      <c r="J21">
        <v>1207.8699999999999</v>
      </c>
      <c r="K21">
        <v>1218.44</v>
      </c>
    </row>
    <row r="22" spans="1:11" s="6" customFormat="1" x14ac:dyDescent="0.35">
      <c r="A22" s="4" t="s">
        <v>84</v>
      </c>
      <c r="B22">
        <v>3274.5</v>
      </c>
      <c r="C22">
        <v>3570.49</v>
      </c>
      <c r="D22">
        <v>4310.68</v>
      </c>
      <c r="E22">
        <v>4311.03</v>
      </c>
      <c r="F22">
        <v>4777.62</v>
      </c>
      <c r="G22">
        <v>4305.17</v>
      </c>
      <c r="H22">
        <v>4604.42</v>
      </c>
      <c r="I22">
        <v>4910.37</v>
      </c>
      <c r="J22">
        <v>5290.69</v>
      </c>
      <c r="K22">
        <v>5730.37</v>
      </c>
    </row>
    <row r="23" spans="1:11" s="6" customFormat="1" x14ac:dyDescent="0.35">
      <c r="A23" s="4" t="s">
        <v>85</v>
      </c>
      <c r="B23">
        <v>226.58</v>
      </c>
      <c r="C23">
        <v>222.3</v>
      </c>
      <c r="D23">
        <v>209.9</v>
      </c>
      <c r="E23">
        <v>352.05</v>
      </c>
      <c r="F23">
        <v>155.55000000000001</v>
      </c>
      <c r="G23">
        <v>138.35</v>
      </c>
      <c r="H23">
        <v>179.9</v>
      </c>
      <c r="I23">
        <v>215.6</v>
      </c>
      <c r="J23">
        <v>241.69</v>
      </c>
      <c r="K23">
        <v>310.08999999999997</v>
      </c>
    </row>
    <row r="24" spans="1:11" s="6" customFormat="1" x14ac:dyDescent="0.35">
      <c r="A24" s="4" t="s">
        <v>86</v>
      </c>
      <c r="B24">
        <v>1545.12</v>
      </c>
      <c r="C24">
        <v>658.02</v>
      </c>
      <c r="D24">
        <v>641.23</v>
      </c>
      <c r="E24">
        <v>1017.4</v>
      </c>
      <c r="F24">
        <v>1438.17</v>
      </c>
      <c r="G24">
        <v>1062.18</v>
      </c>
      <c r="H24">
        <v>3530.73</v>
      </c>
      <c r="I24">
        <v>3865.35</v>
      </c>
      <c r="J24">
        <v>2918.52</v>
      </c>
      <c r="K24">
        <v>1925.68</v>
      </c>
    </row>
    <row r="25" spans="1:11" s="6" customFormat="1" x14ac:dyDescent="0.35">
      <c r="A25" s="6" t="s">
        <v>9</v>
      </c>
      <c r="B25">
        <v>1608.1</v>
      </c>
      <c r="C25">
        <v>1058.2</v>
      </c>
      <c r="D25">
        <v>775.7</v>
      </c>
      <c r="E25">
        <v>376.26</v>
      </c>
      <c r="F25">
        <v>422.51</v>
      </c>
      <c r="G25">
        <v>364.28</v>
      </c>
      <c r="H25">
        <v>984.93</v>
      </c>
      <c r="I25">
        <v>1672.92</v>
      </c>
      <c r="J25">
        <v>1923.1</v>
      </c>
      <c r="K25">
        <v>2608.23</v>
      </c>
    </row>
    <row r="26" spans="1:11" s="6" customFormat="1" x14ac:dyDescent="0.35">
      <c r="A26" s="6" t="s">
        <v>10</v>
      </c>
      <c r="B26">
        <v>862.8</v>
      </c>
      <c r="C26">
        <v>680.68</v>
      </c>
      <c r="D26">
        <v>947.09</v>
      </c>
      <c r="E26">
        <v>1025.26</v>
      </c>
      <c r="F26">
        <v>998.52</v>
      </c>
      <c r="G26">
        <v>1157.8900000000001</v>
      </c>
      <c r="H26">
        <v>1110.53</v>
      </c>
      <c r="I26">
        <v>1784.67</v>
      </c>
      <c r="J26">
        <v>1407.17</v>
      </c>
      <c r="K26">
        <v>1340.37</v>
      </c>
    </row>
    <row r="27" spans="1:11" s="6" customFormat="1" x14ac:dyDescent="0.35">
      <c r="A27" s="6" t="s">
        <v>11</v>
      </c>
      <c r="B27">
        <v>5.9</v>
      </c>
      <c r="C27">
        <v>16.45</v>
      </c>
      <c r="D27">
        <v>34.619999999999997</v>
      </c>
      <c r="E27">
        <v>177.6</v>
      </c>
      <c r="F27">
        <v>359.59</v>
      </c>
      <c r="G27">
        <v>266.89</v>
      </c>
      <c r="H27">
        <v>65.239999999999995</v>
      </c>
      <c r="I27">
        <v>64.41</v>
      </c>
      <c r="J27">
        <v>42.63</v>
      </c>
      <c r="K27">
        <v>21.62</v>
      </c>
    </row>
    <row r="28" spans="1:11" s="6" customFormat="1" x14ac:dyDescent="0.35">
      <c r="A28" s="6" t="s">
        <v>12</v>
      </c>
      <c r="B28">
        <v>3213.3</v>
      </c>
      <c r="C28">
        <v>3591.76</v>
      </c>
      <c r="D28">
        <v>3242.68</v>
      </c>
      <c r="E28">
        <v>3724.66</v>
      </c>
      <c r="F28">
        <v>3978.64</v>
      </c>
      <c r="G28">
        <v>4283.4799999999996</v>
      </c>
      <c r="H28">
        <v>5224.53</v>
      </c>
      <c r="I28">
        <v>6509.5</v>
      </c>
      <c r="J28">
        <v>10224.879999999999</v>
      </c>
      <c r="K28">
        <v>10867.26</v>
      </c>
    </row>
    <row r="29" spans="1:11" s="6" customFormat="1" x14ac:dyDescent="0.35">
      <c r="A29" s="6" t="s">
        <v>13</v>
      </c>
      <c r="B29">
        <v>1209</v>
      </c>
      <c r="C29">
        <v>966.95</v>
      </c>
      <c r="D29">
        <v>1252.43</v>
      </c>
      <c r="E29">
        <v>1396.28</v>
      </c>
      <c r="F29">
        <v>1095.99</v>
      </c>
      <c r="G29">
        <v>1037.93</v>
      </c>
      <c r="H29">
        <v>144.65</v>
      </c>
      <c r="I29">
        <v>681.77</v>
      </c>
      <c r="J29">
        <v>2603.9299999999998</v>
      </c>
      <c r="K29">
        <v>2503.21</v>
      </c>
    </row>
    <row r="30" spans="1:11" s="6" customFormat="1" x14ac:dyDescent="0.35">
      <c r="A30" s="6" t="s">
        <v>14</v>
      </c>
      <c r="B30">
        <v>2004.3</v>
      </c>
      <c r="C30">
        <v>2624.81</v>
      </c>
      <c r="D30">
        <v>1990.47</v>
      </c>
      <c r="E30">
        <v>2328.63</v>
      </c>
      <c r="F30">
        <v>2882.82</v>
      </c>
      <c r="G30">
        <v>3245.95</v>
      </c>
      <c r="H30">
        <v>5080.04</v>
      </c>
      <c r="I30">
        <v>5827.74</v>
      </c>
      <c r="J30">
        <v>7621.05</v>
      </c>
      <c r="K30">
        <v>8364.1299999999992</v>
      </c>
    </row>
    <row r="31" spans="1:11" s="6" customFormat="1" x14ac:dyDescent="0.35">
      <c r="A31" s="6" t="s">
        <v>70</v>
      </c>
      <c r="B31">
        <v>629.01</v>
      </c>
      <c r="C31">
        <v>800</v>
      </c>
      <c r="D31">
        <v>1075.73</v>
      </c>
      <c r="E31">
        <v>662.09</v>
      </c>
      <c r="F31">
        <v>1111.8499999999999</v>
      </c>
      <c r="G31">
        <v>1003.17</v>
      </c>
      <c r="H31">
        <v>1337.56</v>
      </c>
      <c r="I31">
        <v>1839.14</v>
      </c>
      <c r="J31">
        <v>2340.73</v>
      </c>
      <c r="K31">
        <v>2675.12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5">
      <c r="A42" s="6" t="s">
        <v>6</v>
      </c>
      <c r="B42">
        <v>5635.7</v>
      </c>
      <c r="C42">
        <v>6061.28</v>
      </c>
      <c r="D42">
        <v>14768.75</v>
      </c>
      <c r="E42">
        <v>4347.5</v>
      </c>
      <c r="F42">
        <v>5976.29</v>
      </c>
      <c r="G42">
        <v>6957.31</v>
      </c>
      <c r="H42">
        <v>13699.85</v>
      </c>
      <c r="I42">
        <v>4819.01</v>
      </c>
      <c r="J42">
        <v>6628.61</v>
      </c>
      <c r="K42">
        <v>7698.8</v>
      </c>
    </row>
    <row r="43" spans="1:11" s="6" customFormat="1" x14ac:dyDescent="0.35">
      <c r="A43" s="6" t="s">
        <v>7</v>
      </c>
      <c r="B43">
        <v>4108.0600000000004</v>
      </c>
      <c r="C43">
        <v>4625.95</v>
      </c>
      <c r="D43">
        <v>8867.49</v>
      </c>
      <c r="E43">
        <v>3356.79</v>
      </c>
      <c r="F43">
        <v>4336.33</v>
      </c>
      <c r="G43">
        <v>5274.8</v>
      </c>
      <c r="H43">
        <v>8404.9500000000007</v>
      </c>
      <c r="I43">
        <v>3536.61</v>
      </c>
      <c r="J43">
        <v>5070.72</v>
      </c>
      <c r="K43">
        <v>5827.83</v>
      </c>
    </row>
    <row r="44" spans="1:11" s="6" customFormat="1" x14ac:dyDescent="0.35">
      <c r="A44" s="6" t="s">
        <v>9</v>
      </c>
      <c r="B44">
        <v>473.75</v>
      </c>
      <c r="C44">
        <v>466.63</v>
      </c>
      <c r="D44">
        <v>569.12</v>
      </c>
      <c r="E44">
        <v>742.38</v>
      </c>
      <c r="F44">
        <v>560.33000000000004</v>
      </c>
      <c r="G44">
        <v>636.83000000000004</v>
      </c>
      <c r="H44">
        <v>668.69</v>
      </c>
      <c r="I44">
        <v>757.37</v>
      </c>
      <c r="J44">
        <v>895.01</v>
      </c>
      <c r="K44">
        <v>926.58</v>
      </c>
    </row>
    <row r="45" spans="1:11" s="6" customFormat="1" x14ac:dyDescent="0.35">
      <c r="A45" s="6" t="s">
        <v>10</v>
      </c>
      <c r="B45">
        <v>349.65</v>
      </c>
      <c r="C45">
        <v>212.17</v>
      </c>
      <c r="D45">
        <v>643.97</v>
      </c>
      <c r="E45">
        <v>149.22999999999999</v>
      </c>
      <c r="F45">
        <v>177.57</v>
      </c>
      <c r="G45">
        <v>277.08</v>
      </c>
      <c r="H45">
        <v>736.49</v>
      </c>
      <c r="I45">
        <v>185.16</v>
      </c>
      <c r="J45">
        <v>225.56</v>
      </c>
      <c r="K45">
        <v>309.76</v>
      </c>
    </row>
    <row r="46" spans="1:11" s="6" customFormat="1" x14ac:dyDescent="0.35">
      <c r="A46" s="6" t="s">
        <v>11</v>
      </c>
      <c r="B46">
        <v>0.32</v>
      </c>
      <c r="C46">
        <v>0.36</v>
      </c>
      <c r="D46">
        <v>31.41</v>
      </c>
      <c r="E46">
        <v>0.14000000000000001</v>
      </c>
      <c r="F46">
        <v>0.02</v>
      </c>
      <c r="G46">
        <v>0.08</v>
      </c>
      <c r="H46">
        <v>8.44</v>
      </c>
      <c r="I46">
        <v>0.3</v>
      </c>
      <c r="J46">
        <v>0.36</v>
      </c>
      <c r="K46">
        <v>0.98</v>
      </c>
    </row>
    <row r="47" spans="1:11" s="6" customFormat="1" x14ac:dyDescent="0.35">
      <c r="A47" s="6" t="s">
        <v>12</v>
      </c>
      <c r="B47">
        <v>1651.42</v>
      </c>
      <c r="C47">
        <v>1689.43</v>
      </c>
      <c r="D47">
        <v>5795</v>
      </c>
      <c r="E47">
        <v>1583.72</v>
      </c>
      <c r="F47">
        <v>2022.7</v>
      </c>
      <c r="G47">
        <v>2042.18</v>
      </c>
      <c r="H47">
        <v>5218.66</v>
      </c>
      <c r="I47">
        <v>1854.31</v>
      </c>
      <c r="J47">
        <v>2226.98</v>
      </c>
      <c r="K47">
        <v>2486.81</v>
      </c>
    </row>
    <row r="48" spans="1:11" s="6" customFormat="1" x14ac:dyDescent="0.35">
      <c r="A48" s="6" t="s">
        <v>13</v>
      </c>
      <c r="B48">
        <v>414.75</v>
      </c>
      <c r="C48">
        <v>427.92</v>
      </c>
      <c r="D48">
        <v>1486.32</v>
      </c>
      <c r="E48">
        <v>146.58000000000001</v>
      </c>
      <c r="F48">
        <v>512.21</v>
      </c>
      <c r="G48">
        <v>602.39</v>
      </c>
      <c r="H48">
        <v>1242.03</v>
      </c>
      <c r="I48">
        <v>470.54</v>
      </c>
      <c r="J48">
        <v>557.92999999999995</v>
      </c>
      <c r="K48">
        <v>620.15</v>
      </c>
    </row>
    <row r="49" spans="1:11" s="6" customFormat="1" x14ac:dyDescent="0.35">
      <c r="A49" s="6" t="s">
        <v>14</v>
      </c>
      <c r="B49">
        <v>1236.7</v>
      </c>
      <c r="C49">
        <v>1261.4000000000001</v>
      </c>
      <c r="D49">
        <v>4308.71</v>
      </c>
      <c r="E49">
        <v>1437.16</v>
      </c>
      <c r="F49">
        <v>1510.48</v>
      </c>
      <c r="G49">
        <v>1439.83</v>
      </c>
      <c r="H49">
        <v>3976.66</v>
      </c>
      <c r="I49">
        <v>1383.77</v>
      </c>
      <c r="J49">
        <v>1669.07</v>
      </c>
      <c r="K49">
        <v>1866.68</v>
      </c>
    </row>
    <row r="50" spans="1:11" x14ac:dyDescent="0.35">
      <c r="A50" s="6" t="s">
        <v>8</v>
      </c>
      <c r="B50">
        <v>1527.64</v>
      </c>
      <c r="C50">
        <v>1435.33</v>
      </c>
      <c r="D50">
        <v>5901.26</v>
      </c>
      <c r="E50">
        <v>990.71</v>
      </c>
      <c r="F50">
        <v>1639.96</v>
      </c>
      <c r="G50">
        <v>1682.51</v>
      </c>
      <c r="H50">
        <v>5294.9</v>
      </c>
      <c r="I50">
        <v>1282.4000000000001</v>
      </c>
      <c r="J50">
        <v>1557.89</v>
      </c>
      <c r="K50">
        <v>1870.97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5">
      <c r="A57" s="6" t="s">
        <v>24</v>
      </c>
      <c r="B57">
        <v>361.5</v>
      </c>
      <c r="C57">
        <v>361.5</v>
      </c>
      <c r="D57">
        <v>334.39</v>
      </c>
      <c r="E57">
        <v>334.39</v>
      </c>
      <c r="F57">
        <v>334.39</v>
      </c>
      <c r="G57">
        <v>334.39</v>
      </c>
      <c r="H57">
        <v>334.39</v>
      </c>
      <c r="I57">
        <v>334.39</v>
      </c>
      <c r="J57">
        <v>334.39</v>
      </c>
      <c r="K57">
        <v>334.39</v>
      </c>
    </row>
    <row r="58" spans="1:11" x14ac:dyDescent="0.35">
      <c r="A58" s="6" t="s">
        <v>25</v>
      </c>
      <c r="B58">
        <v>10670.9</v>
      </c>
      <c r="C58">
        <v>12197.61</v>
      </c>
      <c r="D58">
        <v>9176.86</v>
      </c>
      <c r="E58">
        <v>11747.73</v>
      </c>
      <c r="F58">
        <v>12914.12</v>
      </c>
      <c r="G58">
        <v>15089.51</v>
      </c>
      <c r="H58">
        <v>18978.740000000002</v>
      </c>
      <c r="I58">
        <v>23237.759999999998</v>
      </c>
      <c r="J58">
        <v>28803.78</v>
      </c>
      <c r="K58">
        <v>34647.22</v>
      </c>
    </row>
    <row r="59" spans="1:11" x14ac:dyDescent="0.35">
      <c r="A59" s="6" t="s">
        <v>71</v>
      </c>
      <c r="B59">
        <v>79.8</v>
      </c>
      <c r="C59">
        <v>1022.03</v>
      </c>
      <c r="D59">
        <v>904.52</v>
      </c>
      <c r="E59">
        <v>4116.2</v>
      </c>
      <c r="F59">
        <v>5926.97</v>
      </c>
      <c r="G59">
        <v>53.28</v>
      </c>
      <c r="H59">
        <v>49.27</v>
      </c>
      <c r="I59">
        <v>51.69</v>
      </c>
      <c r="J59">
        <v>50.12</v>
      </c>
      <c r="K59">
        <v>51.44</v>
      </c>
    </row>
    <row r="60" spans="1:11" x14ac:dyDescent="0.35">
      <c r="A60" s="6" t="s">
        <v>72</v>
      </c>
      <c r="B60">
        <v>45419.7</v>
      </c>
      <c r="C60">
        <v>38162.559999999998</v>
      </c>
      <c r="D60">
        <v>38046.839999999997</v>
      </c>
      <c r="E60">
        <v>35298.01</v>
      </c>
      <c r="F60">
        <v>35027.18</v>
      </c>
      <c r="G60">
        <v>37619.24</v>
      </c>
      <c r="H60">
        <v>40891.94</v>
      </c>
      <c r="I60">
        <v>45652.160000000003</v>
      </c>
      <c r="J60">
        <v>51722.55</v>
      </c>
      <c r="K60">
        <v>73665.41</v>
      </c>
    </row>
    <row r="61" spans="1:11" s="1" customFormat="1" x14ac:dyDescent="0.35">
      <c r="A61" s="1" t="s">
        <v>26</v>
      </c>
      <c r="B61">
        <v>56531.9</v>
      </c>
      <c r="C61">
        <v>51743.7</v>
      </c>
      <c r="D61">
        <v>48462.61</v>
      </c>
      <c r="E61">
        <v>51496.33</v>
      </c>
      <c r="F61">
        <v>54202.66</v>
      </c>
      <c r="G61">
        <v>53096.42</v>
      </c>
      <c r="H61">
        <v>60254.34</v>
      </c>
      <c r="I61">
        <v>69276</v>
      </c>
      <c r="J61">
        <v>80910.84</v>
      </c>
      <c r="K61">
        <v>108698.46</v>
      </c>
    </row>
    <row r="62" spans="1:11" x14ac:dyDescent="0.35">
      <c r="A62" s="6" t="s">
        <v>27</v>
      </c>
      <c r="B62">
        <v>6925.2</v>
      </c>
      <c r="C62">
        <v>7349.56</v>
      </c>
      <c r="D62">
        <v>7566.22</v>
      </c>
      <c r="E62">
        <v>7459.35</v>
      </c>
      <c r="F62">
        <v>7357.49</v>
      </c>
      <c r="G62">
        <v>7165.88</v>
      </c>
      <c r="H62">
        <v>6765.88</v>
      </c>
      <c r="I62">
        <v>6834.4</v>
      </c>
      <c r="J62">
        <v>6736.89</v>
      </c>
      <c r="K62">
        <v>6670.8</v>
      </c>
    </row>
    <row r="63" spans="1:11" x14ac:dyDescent="0.35">
      <c r="A63" s="6" t="s">
        <v>28</v>
      </c>
      <c r="B63">
        <v>1025.4000000000001</v>
      </c>
      <c r="C63">
        <v>1389.4</v>
      </c>
      <c r="D63">
        <v>1461.72</v>
      </c>
      <c r="E63">
        <v>1502.11</v>
      </c>
      <c r="F63">
        <v>2042.69</v>
      </c>
      <c r="G63">
        <v>1949.6</v>
      </c>
      <c r="H63">
        <v>2472.94</v>
      </c>
      <c r="I63">
        <v>1885</v>
      </c>
      <c r="J63">
        <v>2493.4299999999998</v>
      </c>
      <c r="K63">
        <v>3097.75</v>
      </c>
    </row>
    <row r="64" spans="1:11" x14ac:dyDescent="0.35">
      <c r="A64" s="6" t="s">
        <v>29</v>
      </c>
      <c r="B64">
        <v>915.8</v>
      </c>
      <c r="C64">
        <v>993.99</v>
      </c>
      <c r="D64">
        <v>1010.11</v>
      </c>
      <c r="E64">
        <v>909.64</v>
      </c>
      <c r="F64">
        <v>990.8</v>
      </c>
      <c r="G64">
        <v>1121.32</v>
      </c>
      <c r="H64">
        <v>1362.7</v>
      </c>
      <c r="I64">
        <v>1457.92</v>
      </c>
      <c r="J64">
        <v>1591.33</v>
      </c>
      <c r="K64">
        <v>1754.2</v>
      </c>
    </row>
    <row r="65" spans="1:11" x14ac:dyDescent="0.35">
      <c r="A65" s="6" t="s">
        <v>73</v>
      </c>
      <c r="B65">
        <v>47665.5</v>
      </c>
      <c r="C65">
        <v>42010.75</v>
      </c>
      <c r="D65">
        <v>38424.559999999998</v>
      </c>
      <c r="E65">
        <v>41625.230000000003</v>
      </c>
      <c r="F65">
        <v>43811.68</v>
      </c>
      <c r="G65">
        <v>42859.62</v>
      </c>
      <c r="H65">
        <v>49652.82</v>
      </c>
      <c r="I65">
        <v>59098.68</v>
      </c>
      <c r="J65">
        <v>70089.19</v>
      </c>
      <c r="K65">
        <v>97175.71</v>
      </c>
    </row>
    <row r="66" spans="1:11" s="1" customFormat="1" x14ac:dyDescent="0.35">
      <c r="A66" s="1" t="s">
        <v>26</v>
      </c>
      <c r="B66">
        <v>56531.9</v>
      </c>
      <c r="C66">
        <v>51743.7</v>
      </c>
      <c r="D66">
        <v>48462.61</v>
      </c>
      <c r="E66">
        <v>51496.33</v>
      </c>
      <c r="F66">
        <v>54202.66</v>
      </c>
      <c r="G66">
        <v>53096.42</v>
      </c>
      <c r="H66">
        <v>60254.34</v>
      </c>
      <c r="I66">
        <v>69276</v>
      </c>
      <c r="J66">
        <v>80910.84</v>
      </c>
      <c r="K66">
        <v>108698.46</v>
      </c>
    </row>
    <row r="67" spans="1:11" s="6" customFormat="1" x14ac:dyDescent="0.35">
      <c r="A67" s="6" t="s">
        <v>78</v>
      </c>
      <c r="B67">
        <v>4836.8999999999996</v>
      </c>
      <c r="C67">
        <v>4220.16</v>
      </c>
      <c r="D67">
        <v>6751.54</v>
      </c>
      <c r="E67">
        <v>12458</v>
      </c>
      <c r="F67">
        <v>11234.73</v>
      </c>
      <c r="G67">
        <v>5668.05</v>
      </c>
      <c r="H67">
        <v>4641.53</v>
      </c>
      <c r="I67">
        <v>4719.18</v>
      </c>
      <c r="J67">
        <v>4616.8500000000004</v>
      </c>
      <c r="K67">
        <v>4647.79</v>
      </c>
    </row>
    <row r="68" spans="1:11" x14ac:dyDescent="0.35">
      <c r="A68" s="6" t="s">
        <v>45</v>
      </c>
      <c r="B68">
        <v>23981.7</v>
      </c>
      <c r="C68">
        <v>21519.73</v>
      </c>
      <c r="D68">
        <v>20130.73</v>
      </c>
      <c r="E68">
        <v>20446.8</v>
      </c>
      <c r="F68">
        <v>20361.18</v>
      </c>
      <c r="G68">
        <v>18005.41</v>
      </c>
      <c r="H68">
        <v>16209.64</v>
      </c>
      <c r="I68">
        <v>14220.89</v>
      </c>
      <c r="J68">
        <v>16033.2</v>
      </c>
      <c r="K68">
        <v>24107.31</v>
      </c>
    </row>
    <row r="69" spans="1:11" x14ac:dyDescent="0.35">
      <c r="A69" s="4" t="s">
        <v>87</v>
      </c>
      <c r="B69">
        <v>13303.4</v>
      </c>
      <c r="C69">
        <v>11149.06</v>
      </c>
      <c r="D69">
        <v>6545.52</v>
      </c>
      <c r="E69">
        <v>123.66</v>
      </c>
      <c r="F69">
        <v>316.56</v>
      </c>
      <c r="G69">
        <v>7177.35</v>
      </c>
      <c r="H69">
        <v>14347.72</v>
      </c>
      <c r="I69">
        <v>20316.61</v>
      </c>
      <c r="J69">
        <v>26431.61</v>
      </c>
      <c r="K69">
        <v>38182.25</v>
      </c>
    </row>
    <row r="70" spans="1:11" x14ac:dyDescent="0.35">
      <c r="A70" s="4" t="s">
        <v>74</v>
      </c>
      <c r="B70">
        <v>361500000</v>
      </c>
      <c r="C70">
        <v>361500000</v>
      </c>
      <c r="D70">
        <v>334387500</v>
      </c>
      <c r="E70">
        <v>334387500</v>
      </c>
      <c r="F70">
        <v>334387500</v>
      </c>
      <c r="G70">
        <v>334387500</v>
      </c>
      <c r="H70">
        <v>334387500</v>
      </c>
      <c r="I70">
        <v>334387500</v>
      </c>
      <c r="J70">
        <v>668775000</v>
      </c>
      <c r="K70">
        <v>668775000</v>
      </c>
    </row>
    <row r="71" spans="1:11" x14ac:dyDescent="0.35">
      <c r="A71" s="4" t="s">
        <v>75</v>
      </c>
    </row>
    <row r="72" spans="1:11" x14ac:dyDescent="0.35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5</v>
      </c>
      <c r="K72">
        <v>5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5">
      <c r="A82" s="6" t="s">
        <v>32</v>
      </c>
      <c r="C82">
        <v>-404.5</v>
      </c>
      <c r="D82">
        <v>-747.6</v>
      </c>
      <c r="E82">
        <v>-7700.28</v>
      </c>
      <c r="F82">
        <v>1527.39</v>
      </c>
      <c r="G82">
        <v>15117</v>
      </c>
      <c r="H82">
        <v>10173.129999999999</v>
      </c>
      <c r="I82">
        <v>8829.7199999999993</v>
      </c>
      <c r="J82">
        <v>8222.82</v>
      </c>
      <c r="K82">
        <v>13643.46</v>
      </c>
    </row>
    <row r="83" spans="1:11" s="6" customFormat="1" x14ac:dyDescent="0.35">
      <c r="A83" s="6" t="s">
        <v>33</v>
      </c>
      <c r="C83">
        <v>3011.8</v>
      </c>
      <c r="D83">
        <v>597</v>
      </c>
      <c r="E83">
        <v>5294.17</v>
      </c>
      <c r="F83">
        <v>-1338.88</v>
      </c>
      <c r="G83">
        <v>-1179.99</v>
      </c>
      <c r="H83">
        <v>-12785.23</v>
      </c>
      <c r="I83">
        <v>-5728.02</v>
      </c>
      <c r="J83">
        <v>-6410.05</v>
      </c>
      <c r="K83">
        <v>-10771.09</v>
      </c>
    </row>
    <row r="84" spans="1:11" s="6" customFormat="1" x14ac:dyDescent="0.35">
      <c r="A84" s="6" t="s">
        <v>34</v>
      </c>
      <c r="C84">
        <v>-164.28</v>
      </c>
      <c r="D84">
        <v>-2540.35</v>
      </c>
      <c r="E84">
        <v>2326.11</v>
      </c>
      <c r="F84">
        <v>63.94</v>
      </c>
      <c r="G84">
        <v>-7070.18</v>
      </c>
      <c r="H84">
        <v>-1463.68</v>
      </c>
      <c r="I84">
        <v>-1731.3</v>
      </c>
      <c r="J84">
        <v>-1998.85</v>
      </c>
      <c r="K84">
        <v>-2578.5100000000002</v>
      </c>
    </row>
    <row r="85" spans="1:11" s="1" customFormat="1" x14ac:dyDescent="0.35">
      <c r="A85" s="6" t="s">
        <v>35</v>
      </c>
      <c r="C85">
        <v>2443.02</v>
      </c>
      <c r="D85">
        <v>-2690.95</v>
      </c>
      <c r="E85">
        <v>-80</v>
      </c>
      <c r="F85">
        <v>252.45</v>
      </c>
      <c r="G85">
        <v>6866.83</v>
      </c>
      <c r="H85">
        <v>-4075.78</v>
      </c>
      <c r="I85">
        <v>1370.4</v>
      </c>
      <c r="J85">
        <v>-186.08</v>
      </c>
      <c r="K85">
        <v>293.86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D90">
        <v>566.42999999999995</v>
      </c>
      <c r="E90">
        <v>353.23</v>
      </c>
      <c r="F90">
        <v>260.14999999999998</v>
      </c>
      <c r="G90">
        <v>497.48</v>
      </c>
      <c r="H90">
        <v>742.45</v>
      </c>
      <c r="I90">
        <v>1365.55</v>
      </c>
      <c r="J90">
        <v>3327</v>
      </c>
      <c r="K90">
        <v>4177.45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72.3</v>
      </c>
      <c r="C93" s="24">
        <v>72.3</v>
      </c>
      <c r="D93" s="24">
        <v>66.88</v>
      </c>
      <c r="E93" s="24">
        <v>66.88</v>
      </c>
      <c r="F93" s="24">
        <v>66.88</v>
      </c>
      <c r="G93" s="24">
        <v>66.88</v>
      </c>
      <c r="H93" s="24">
        <v>66.88</v>
      </c>
      <c r="I93" s="24">
        <v>66.88</v>
      </c>
      <c r="J93" s="24">
        <v>66.88</v>
      </c>
      <c r="K93" s="24">
        <v>66.88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Ashwani Kumar Shukla</cp:lastModifiedBy>
  <cp:lastPrinted>2012-12-06T18:14:13Z</cp:lastPrinted>
  <dcterms:created xsi:type="dcterms:W3CDTF">2012-08-17T09:55:37Z</dcterms:created>
  <dcterms:modified xsi:type="dcterms:W3CDTF">2026-03-27T07:51:15Z</dcterms:modified>
</cp:coreProperties>
</file>